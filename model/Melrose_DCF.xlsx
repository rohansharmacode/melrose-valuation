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puts" sheetId="2" state="visible" r:id="rId4"/>
    <sheet name="Scenarios" sheetId="3" state="visible" r:id="rId5"/>
    <sheet name="DCF_Base" sheetId="4" state="visible" r:id="rId6"/>
    <sheet name="DCF_Bear" sheetId="5" state="visible" r:id="rId7"/>
    <sheet name="DCF_Bull" sheetId="6" state="visible" r:id="rId8"/>
    <sheet name="Sensitivity" sheetId="7" state="visible" r:id="rId9"/>
    <sheet name="Comps" sheetId="8" state="visible" r:id="rId10"/>
    <sheet name="Histor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<sst xmlns="http://schemas.openxmlformats.org/spreadsheetml/2006/main" count="647" uniqueCount="351">
  <si>
    <t xml:space="preserve">Melrose Industries (MRO.L): equity research model</t>
  </si>
  <si>
    <t xml:space="preserve">Rohan Sharma, 8 Oct 2026. Student project for learning; not investment advice.</t>
  </si>
  <si>
    <t xml:space="preserve">Recommendation</t>
  </si>
  <si>
    <t xml:space="preserve">Buy if fair value is 15%+ above the price; sell if 10%+ below</t>
  </si>
  <si>
    <t xml:space="preserve">Share price (7 Oct 2026)</t>
  </si>
  <si>
    <t xml:space="preserve">Fair value (probability-weighted)</t>
  </si>
  <si>
    <t xml:space="preserve">Upside</t>
  </si>
  <si>
    <t xml:space="preserve">Market capitalisation (£m)</t>
  </si>
  <si>
    <t xml:space="preserve">Enterprise value incl. leases (£m)</t>
  </si>
  <si>
    <t xml:space="preserve">P/E 2026E (consensus EPS)</t>
  </si>
  <si>
    <t xml:space="preserve">Peer median P/E 2026E</t>
  </si>
  <si>
    <t xml:space="preserve">P/E 2026E on EPS excluding non-cash VC</t>
  </si>
  <si>
    <t xml:space="preserve">FCF yield, 2026 guidance mid-point</t>
  </si>
  <si>
    <t xml:space="preserve">FCF yield on the 2029 target (at US$1.37)</t>
  </si>
  <si>
    <t xml:space="preserve">WACC</t>
  </si>
  <si>
    <t xml:space="preserve">Scenario</t>
  </si>
  <si>
    <t xml:space="preserve">Value</t>
  </si>
  <si>
    <t xml:space="preserve">Probability</t>
  </si>
  <si>
    <t xml:space="preserve">2029 FCF (£m)</t>
  </si>
  <si>
    <t xml:space="preserve">% of 2029 target</t>
  </si>
  <si>
    <t xml:space="preserve">Bear</t>
  </si>
  <si>
    <t xml:space="preserve">Base</t>
  </si>
  <si>
    <t xml:space="preserve">Bull</t>
  </si>
  <si>
    <t xml:space="preserve">Valuation range (football field)</t>
  </si>
  <si>
    <t xml:space="preserve">Low (p)</t>
  </si>
  <si>
    <t xml:space="preserve">High (p)</t>
  </si>
  <si>
    <t xml:space="preserve">Basis</t>
  </si>
  <si>
    <t xml:space="preserve">52-week trading range</t>
  </si>
  <si>
    <t xml:space="preserve">lse.co.uk</t>
  </si>
  <si>
    <t xml:space="preserve">Analyst price targets</t>
  </si>
  <si>
    <t xml:space="preserve">15 analysts, 7 Oct 2026</t>
  </si>
  <si>
    <t xml:space="preserve">Senior plc takeover multiple (15.2x EBITDA)</t>
  </si>
  <si>
    <t xml:space="preserve">Low: VC worth nothing. High: VC worth full value</t>
  </si>
  <si>
    <t xml:space="preserve">DCF, base case (WACC +/-0.5pt, growth +/-0.5pt)</t>
  </si>
  <si>
    <t xml:space="preserve">Sensitivity sheet</t>
  </si>
  <si>
    <t xml:space="preserve">DCF, bear to bull</t>
  </si>
  <si>
    <t xml:space="preserve">Scenarios sheet</t>
  </si>
  <si>
    <t xml:space="preserve">How to use: change the yellow levers on Scenarios or any blue input on Inputs; every value recalculates.</t>
  </si>
  <si>
    <t xml:space="preserve">Colour code: blue = typed-in data, black = formula, green = link to another sheet, yellow = key judgement.</t>
  </si>
  <si>
    <t xml:space="preserve">The key judgement is how fast non-cash variable consideration (VC) turns into cash: see DCF row 32.</t>
  </si>
  <si>
    <t xml:space="preserve">Inputs and sources</t>
  </si>
  <si>
    <t xml:space="preserve">Blue = typed-in data with its source. Black = formula. £m unless stated.</t>
  </si>
  <si>
    <t xml:space="preserve">Item</t>
  </si>
  <si>
    <t xml:space="preserve">Unit</t>
  </si>
  <si>
    <t xml:space="preserve">Source / reasoning</t>
  </si>
  <si>
    <t xml:space="preserve">Market data</t>
  </si>
  <si>
    <t xml:space="preserve">Share price</t>
  </si>
  <si>
    <t xml:space="preserve">p</t>
  </si>
  <si>
    <t xml:space="preserve">LSE closing price, 7 Oct 2026 (lse.co.uk)</t>
  </si>
  <si>
    <t xml:space="preserve">Shares in issue</t>
  </si>
  <si>
    <t xml:space="preserve">m</t>
  </si>
  <si>
    <t xml:space="preserve">H1 2026 results (31 Jul 2026): excludes treasury shares, 30 Jun 2026</t>
  </si>
  <si>
    <t xml:space="preserve">Market capitalisation</t>
  </si>
  <si>
    <t xml:space="preserve">£m</t>
  </si>
  <si>
    <t xml:space="preserve">Formula</t>
  </si>
  <si>
    <t xml:space="preserve">Net debt, 30 Jun 2026</t>
  </si>
  <si>
    <t xml:space="preserve">H1 2026 results; excludes lease liabilities</t>
  </si>
  <si>
    <t xml:space="preserve">Lease liabilities</t>
  </si>
  <si>
    <t xml:space="preserve">FY2025 results, 31 Dec 2025 (£31m current + £299m non-current)</t>
  </si>
  <si>
    <t xml:space="preserve">Net pension deficit, 30 Jun 2026</t>
  </si>
  <si>
    <t xml:space="preserve">H1 2026 results</t>
  </si>
  <si>
    <t xml:space="preserve">Enterprise value incl. leases</t>
  </si>
  <si>
    <t xml:space="preserve">Formula: pairs with EBITDA, which adds back lease depreciation</t>
  </si>
  <si>
    <t xml:space="preserve">52-week low</t>
  </si>
  <si>
    <t xml:space="preserve">31 Jul 2026, H1 results day (lse.co.uk)</t>
  </si>
  <si>
    <t xml:space="preserve">52-week high</t>
  </si>
  <si>
    <t xml:space="preserve">19 Feb 2026, before FY2025 results (lse.co.uk)</t>
  </si>
  <si>
    <t xml:space="preserve">Consensus adjusted EPS 2026E</t>
  </si>
  <si>
    <t xml:space="preserve">S&amp;P Global consensus via stockanalysis.com, 7 Oct 2026, 14-15 analysts</t>
  </si>
  <si>
    <t xml:space="preserve">Consensus adjusted EPS 2027E</t>
  </si>
  <si>
    <t xml:space="preserve">As above</t>
  </si>
  <si>
    <t xml:space="preserve">Analyst price target, average</t>
  </si>
  <si>
    <t xml:space="preserve">As above (15 analysts: 10 buy, 3 hold, 2 sell)</t>
  </si>
  <si>
    <t xml:space="preserve">Analyst price target, low</t>
  </si>
  <si>
    <t xml:space="preserve">Analyst price target, high</t>
  </si>
  <si>
    <t xml:space="preserve">FY2026 guidance mid-points (excludes Garden Grove; at US$1.37/£)</t>
  </si>
  <si>
    <t xml:space="preserve">Engines revenue</t>
  </si>
  <si>
    <t xml:space="preserve">FY2025 results (27 Feb 2026): £1,700-1,800m; reaffirmed 31 Jul 2026</t>
  </si>
  <si>
    <t xml:space="preserve">Engines adjusted operating profit</t>
  </si>
  <si>
    <t xml:space="preserve">Guidance £565-595m</t>
  </si>
  <si>
    <t xml:space="preserve">Airframes revenue</t>
  </si>
  <si>
    <t xml:space="preserve">Guidance £2,050-2,150m</t>
  </si>
  <si>
    <t xml:space="preserve">Airframes adjusted operating profit</t>
  </si>
  <si>
    <t xml:space="preserve">Guidance £170-190m</t>
  </si>
  <si>
    <t xml:space="preserve">Group adjusted operating profit</t>
  </si>
  <si>
    <t xml:space="preserve">Guidance £700-750m</t>
  </si>
  <si>
    <t xml:space="preserve">Variable consideration (non-cash RRSP profit)</t>
  </si>
  <si>
    <t xml:space="preserve">Guidance £340-380m, depending on engine build rates</t>
  </si>
  <si>
    <t xml:space="preserve">Free cash flow after interest and tax</t>
  </si>
  <si>
    <t xml:space="preserve">Guidance £150-200m, including a £30-50m factoring inflow</t>
  </si>
  <si>
    <t xml:space="preserve">Central costs (implied)</t>
  </si>
  <si>
    <t xml:space="preserve">Formula: divisions less group</t>
  </si>
  <si>
    <t xml:space="preserve">2029 targets (at US$1.25/£)</t>
  </si>
  <si>
    <t xml:space="preserve">Revenue</t>
  </si>
  <si>
    <t xml:space="preserve">FY2025 results</t>
  </si>
  <si>
    <t xml:space="preserve">Adjusted operating profit</t>
  </si>
  <si>
    <t xml:space="preserve">FY2025 results: '£1.2+ billion'</t>
  </si>
  <si>
    <t xml:space="preserve">FY2025 results; reaffirmed in H1 2026 results</t>
  </si>
  <si>
    <t xml:space="preserve">Profit change per 1 cent move in US$</t>
  </si>
  <si>
    <t xml:space="preserve">%</t>
  </si>
  <si>
    <t xml:space="preserve">H1 2026 results: 1 cent = £5m (0.7%) of adjusted operating profit</t>
  </si>
  <si>
    <t xml:space="preserve">Exchange rate in 2026 guidance</t>
  </si>
  <si>
    <t xml:space="preserve">US$/£</t>
  </si>
  <si>
    <t xml:space="preserve">FY2025 and H1 2026 results</t>
  </si>
  <si>
    <t xml:space="preserve">Exchange rate in 2029 targets</t>
  </si>
  <si>
    <t xml:space="preserve">Restates targets at the guidance rate</t>
  </si>
  <si>
    <t xml:space="preserve">x</t>
  </si>
  <si>
    <t xml:space="preserve">Formula: a weaker dollar shrinks sterling profit</t>
  </si>
  <si>
    <t xml:space="preserve">2029 FCF target at US$1.37</t>
  </si>
  <si>
    <t xml:space="preserve">Formula: the like-for-like yardstick for this model</t>
  </si>
  <si>
    <t xml:space="preserve">Garden Grove (US transparencies plant, chemical tank incident May 2026)</t>
  </si>
  <si>
    <t xml:space="preserve">Lost revenue in 2026</t>
  </si>
  <si>
    <t xml:space="preserve">H1 actual £16m + H2 estimate £30m: about £6m a month at half capacity; full restart slipped past the 28 Sep target</t>
  </si>
  <si>
    <t xml:space="preserve">Lost adjusted operating profit in 2026</t>
  </si>
  <si>
    <t xml:space="preserve">H1 actual £9m + H2 estimate £30m</t>
  </si>
  <si>
    <t xml:space="preserve">H1 2026 actuals (the first half is already in the 30 Jun net debt)</t>
  </si>
  <si>
    <t xml:space="preserve">Variable consideration</t>
  </si>
  <si>
    <t xml:space="preserve">Free cash flow before factoring</t>
  </si>
  <si>
    <t xml:space="preserve">Net interest and tax paid</t>
  </si>
  <si>
    <t xml:space="preserve">Garden Grove cash costs</t>
  </si>
  <si>
    <t xml:space="preserve">First-half unlevered FCF (model basis)</t>
  </si>
  <si>
    <t xml:space="preserve">Formula: adds back interest, tax and Garden Grove; taxes as below</t>
  </si>
  <si>
    <t xml:space="preserve">Forecast assumptions (all scenarios)</t>
  </si>
  <si>
    <t xml:space="preserve">Depreciation and amortisation</t>
  </si>
  <si>
    <t xml:space="preserve">% revenue</t>
  </si>
  <si>
    <t xml:space="preserve">FY2025: £138m on £3,589m revenue</t>
  </si>
  <si>
    <t xml:space="preserve">Capital expenditure</t>
  </si>
  <si>
    <t xml:space="preserve">FY2025: 2.6%; H1 2026: 2.8%; 3.0% allows for growth</t>
  </si>
  <si>
    <t xml:space="preserve">Lease payments</t>
  </si>
  <si>
    <t xml:space="preserve">FY2025: £31m</t>
  </si>
  <si>
    <t xml:space="preserve">Working capital, excluding VC</t>
  </si>
  <si>
    <t xml:space="preserve">% of revenue increase</t>
  </si>
  <si>
    <t xml:space="preserve">Assumption: stock builds with output</t>
  </si>
  <si>
    <t xml:space="preserve">Central cost growth</t>
  </si>
  <si>
    <t xml:space="preserve">% a year</t>
  </si>
  <si>
    <t xml:space="preserve">Assumption: inflation</t>
  </si>
  <si>
    <t xml:space="preserve">Pension cash contributions</t>
  </si>
  <si>
    <t xml:space="preserve">£m a year</t>
  </si>
  <si>
    <t xml:space="preserve">H1 2026: £2m (FY2025: £22m); deficit now only £11m</t>
  </si>
  <si>
    <t xml:space="preserve">Growth that 2030-35 fades towards</t>
  </si>
  <si>
    <t xml:space="preserve">Assumption: long-run nominal growth</t>
  </si>
  <si>
    <t xml:space="preserve">Tax rate</t>
  </si>
  <si>
    <t xml:space="preserve">FY2025 adjusted effective rate; applied to profit after non-cash VC</t>
  </si>
  <si>
    <t xml:space="preserve">GTF powder-metal cash cost 2026</t>
  </si>
  <si>
    <t xml:space="preserve">Guided c.£50m</t>
  </si>
  <si>
    <t xml:space="preserve">GTF powder-metal cash cost 2027</t>
  </si>
  <si>
    <t xml:space="preserve">Total programme within c.£200m (2024 £35m, 2025 £68m)</t>
  </si>
  <si>
    <t xml:space="preserve">GTF powder-metal cash cost 2028</t>
  </si>
  <si>
    <t xml:space="preserve">GTF programmes turn cash positive in 2028 (H1 2026 results)</t>
  </si>
  <si>
    <t xml:space="preserve">Restructuring and other, 2026</t>
  </si>
  <si>
    <t xml:space="preserve">H1 2026 restructuring £6m; non-cash contract releases ~£10m a year</t>
  </si>
  <si>
    <t xml:space="preserve">Restructuring and other, 2027</t>
  </si>
  <si>
    <t xml:space="preserve">Tapering</t>
  </si>
  <si>
    <t xml:space="preserve">Restructuring and other, 2028</t>
  </si>
  <si>
    <t xml:space="preserve">Discount rate</t>
  </si>
  <si>
    <t xml:space="preserve">Risk-free rate (UK 10-year gilt)</t>
  </si>
  <si>
    <t xml:space="preserve">Trading Economics, 8 Oct 2026</t>
  </si>
  <si>
    <t xml:space="preserve">Equity risk premium</t>
  </si>
  <si>
    <t xml:space="preserve">Assumption</t>
  </si>
  <si>
    <t xml:space="preserve">Beta</t>
  </si>
  <si>
    <t xml:space="preserve">5-year beta 0.89 (stockanalysis.com); 1.0 for aerospace cyclicality</t>
  </si>
  <si>
    <t xml:space="preserve">Cost of equity</t>
  </si>
  <si>
    <t xml:space="preserve">Formula: CAPM</t>
  </si>
  <si>
    <t xml:space="preserve">Credit spread over gilts</t>
  </si>
  <si>
    <t xml:space="preserve">Assumption for a BBB-type borrower</t>
  </si>
  <si>
    <t xml:space="preserve">Tax relief on interest</t>
  </si>
  <si>
    <t xml:space="preserve">UK main corporation tax rate</t>
  </si>
  <si>
    <t xml:space="preserve">After-tax cost of debt</t>
  </si>
  <si>
    <t xml:space="preserve">Equity weight</t>
  </si>
  <si>
    <t xml:space="preserve">Formula: market values</t>
  </si>
  <si>
    <t xml:space="preserve">Terminal growth</t>
  </si>
  <si>
    <t xml:space="preserve">Assumption: below long-run UK/US nominal GDP growth</t>
  </si>
  <si>
    <t xml:space="preserve">Scenario levers</t>
  </si>
  <si>
    <t xml:space="preserve">Yellow = the judgement calls that drive the valuation.</t>
  </si>
  <si>
    <t xml:space="preserve">Driver</t>
  </si>
  <si>
    <t xml:space="preserve">Why</t>
  </si>
  <si>
    <t xml:space="preserve">Engines revenue growth, 2027-29</t>
  </si>
  <si>
    <t xml:space="preserve">Management: high single-digit growth a year to 2029</t>
  </si>
  <si>
    <t xml:space="preserve">Engines margin reached by 2029</t>
  </si>
  <si>
    <t xml:space="preserve">Management: mid-to-high 30s%. 2025 actual 31.9%; 2026 guidance 33.1%</t>
  </si>
  <si>
    <t xml:space="preserve">Airframes revenue growth, 2027-29</t>
  </si>
  <si>
    <t xml:space="preserve">Management: mid single-digit growth a year to 2029</t>
  </si>
  <si>
    <t xml:space="preserve">Airframes margin reached by 2029</t>
  </si>
  <si>
    <t xml:space="preserve">Management: low teens. 2025 actual 8.0%; 2026 guidance 8.6%</t>
  </si>
  <si>
    <t xml:space="preserve">Non-cash VC as % of Engines revenue, 2029</t>
  </si>
  <si>
    <t xml:space="preserve">2026 guidance: 20.6% (£360m of £1,750m). Lower = profit turning into cash faster</t>
  </si>
  <si>
    <t xml:space="preserve">Non-cash VC as % of Engines revenue, 2035</t>
  </si>
  <si>
    <t xml:space="preserve">Keeps falling as aftermarket cash from older engines catches up</t>
  </si>
  <si>
    <t xml:space="preserve">Remaining Garden Grove cash cost (£m)</t>
  </si>
  <si>
    <t xml:space="preserve">Base: H2 exceptional costs £25-30m + compensation fund up to $100m (~£75m) + ~£15m legal. Bull: insurance pays half. Bear: lawsuits double it</t>
  </si>
  <si>
    <t xml:space="preserve">Base case twice as likely as either tail</t>
  </si>
  <si>
    <t xml:space="preserve">Probabilities sum to</t>
  </si>
  <si>
    <t xml:space="preserve">Results</t>
  </si>
  <si>
    <t xml:space="preserve">Value per share</t>
  </si>
  <si>
    <t xml:space="preserve">Upside / (downside) vs share price</t>
  </si>
  <si>
    <t xml:space="preserve">2029 FCF after interest and tax (£m)</t>
  </si>
  <si>
    <t xml:space="preserve">% of management's 2029 FCF target</t>
  </si>
  <si>
    <t xml:space="preserve">Enterprise value (£m)</t>
  </si>
  <si>
    <t xml:space="preserve">Probability-weighted value per share</t>
  </si>
  <si>
    <t xml:space="preserve">Discounted cash flow: base case</t>
  </si>
  <si>
    <t xml:space="preserve">£m unless stated. Forecasts at US$1.37/£, the 2026 guidance rate. Valued at 30 Jun 2026, the date of the latest net debt.</t>
  </si>
  <si>
    <t xml:space="preserve">Year</t>
  </si>
  <si>
    <t xml:space="preserve">Note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</si>
  <si>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</si>
  <si>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</si>
  <si>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</si>
  <si>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</si>
  <si>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</si>
  <si>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</si>
  <si>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2031E</t>
  </si>
  <si>
    <t xml:space="preserve">2032E</t>
  </si>
  <si>
    <t xml:space="preserve">2033E</t>
  </si>
  <si>
    <t xml:space="preserve">2034E</t>
  </si>
  <si>
    <t xml:space="preserve">2035E</t>
  </si>
  <si>
    <t xml:space="preserve">Year (number)</t>
  </si>
  <si>
    <t xml:space="preserve">Years after 2029</t>
  </si>
  <si>
    <t xml:space="preserve">Progress to 2029 levels</t>
  </si>
  <si>
    <t xml:space="preserve">0 in 2026, 1 by 2029</t>
  </si>
  <si>
    <t xml:space="preserve">Discount period (years)</t>
  </si>
  <si>
    <t xml:space="preserve">From 30 Jun 2026, mid-period</t>
  </si>
  <si>
    <t xml:space="preserve">Engines revenue growth</t>
  </si>
  <si>
    <t xml:space="preserve">2027-29 lever, then fades</t>
  </si>
  <si>
    <t xml:space="preserve">2026 = guidance mid-point</t>
  </si>
  <si>
    <t xml:space="preserve">Airframes revenue growth</t>
  </si>
  <si>
    <t xml:space="preserve">Airframes revenue (before Garden Grove)</t>
  </si>
  <si>
    <t xml:space="preserve">2026 = guidance</t>
  </si>
  <si>
    <t xml:space="preserve">Garden Grove lost revenue</t>
  </si>
  <si>
    <t xml:space="preserve">2026 only</t>
  </si>
  <si>
    <t xml:space="preserve">Group revenue</t>
  </si>
  <si>
    <t xml:space="preserve">Revenue growth</t>
  </si>
  <si>
    <t xml:space="preserve">Engines margin</t>
  </si>
  <si>
    <t xml:space="preserve">Straight line to the 2029 lever</t>
  </si>
  <si>
    <t xml:space="preserve">Airframes margin</t>
  </si>
  <si>
    <t xml:space="preserve">Garden Grove lost profit</t>
  </si>
  <si>
    <t xml:space="preserve">Central costs</t>
  </si>
  <si>
    <t xml:space="preserve">Grow with inflation</t>
  </si>
  <si>
    <t xml:space="preserve">Adjusted operating margin</t>
  </si>
  <si>
    <t xml:space="preserve">Adjusted EBITDA</t>
  </si>
  <si>
    <t xml:space="preserve">Working capital (excluding VC)</t>
  </si>
  <si>
    <t xml:space="preserve">2025: stock and debtors</t>
  </si>
  <si>
    <t xml:space="preserve">Non-cash VC as % of Engines revenue</t>
  </si>
  <si>
    <t xml:space="preserve">Lever for 2029 and 2035</t>
  </si>
  <si>
    <t xml:space="preserve">Non-cash variable consideration</t>
  </si>
  <si>
    <t xml:space="preserve">Profit not yet received</t>
  </si>
  <si>
    <t xml:space="preserve">GTF powder-metal payments</t>
  </si>
  <si>
    <t xml:space="preserve">Pension contributions</t>
  </si>
  <si>
    <t xml:space="preserve">Restructuring and other</t>
  </si>
  <si>
    <t xml:space="preserve">2025: incl. contract releases</t>
  </si>
  <si>
    <t xml:space="preserve">Cash flow before tax</t>
  </si>
  <si>
    <t xml:space="preserve">2025 ties to £252m reported</t>
  </si>
  <si>
    <t xml:space="preserve">Tax</t>
  </si>
  <si>
    <t xml:space="preserve">Rate x (profit less non-cash VC)</t>
  </si>
  <si>
    <t xml:space="preserve">Unlevered free cash flow (FCFF)</t>
  </si>
  <si>
    <t xml:space="preserve">Less: H1 2026 (already in net debt)</t>
  </si>
  <si>
    <t xml:space="preserve">Cash flow to discount</t>
  </si>
  <si>
    <t xml:space="preserve">Discount factor</t>
  </si>
  <si>
    <t xml:space="preserve">Present value</t>
  </si>
  <si>
    <t xml:space="preserve">Valuation</t>
  </si>
  <si>
    <t xml:space="preserve">FCFF in 2036</t>
  </si>
  <si>
    <t xml:space="preserve">2035 FCFF grown once</t>
  </si>
  <si>
    <t xml:space="preserve">Terminal value at end-2035</t>
  </si>
  <si>
    <t xml:space="preserve">Years to end-2035</t>
  </si>
  <si>
    <t xml:space="preserve">Mid-2026 to end-2035</t>
  </si>
  <si>
    <t xml:space="preserve">Present value of terminal value</t>
  </si>
  <si>
    <t xml:space="preserve">Present value of 2026-35 cash flows</t>
  </si>
  <si>
    <t xml:space="preserve">Enterprise value</t>
  </si>
  <si>
    <t xml:space="preserve">Less: net debt, 30 Jun 2026</t>
  </si>
  <si>
    <t xml:space="preserve">Less: pension deficit</t>
  </si>
  <si>
    <t xml:space="preserve">Less: remaining Garden Grove costs</t>
  </si>
  <si>
    <t xml:space="preserve">Scenario lever</t>
  </si>
  <si>
    <t xml:space="preserve">Equity value</t>
  </si>
  <si>
    <t xml:space="preserve">Shares in issue (m)</t>
  </si>
  <si>
    <t xml:space="preserve">Terminal value as % of enterprise value</t>
  </si>
  <si>
    <t xml:space="preserve">Implied exit multiple (EV / 2035 EBITDA)</t>
  </si>
  <si>
    <t xml:space="preserve">Memo: cash flow on Melrose's own definition</t>
  </si>
  <si>
    <t xml:space="preserve">FCF after interest and tax</t>
  </si>
  <si>
    <t xml:space="preserve">FCFF less after-tax interest</t>
  </si>
  <si>
    <t xml:space="preserve">Management 2029 target at US$1.37</t>
  </si>
  <si>
    <t xml:space="preserve">Model as % of target</t>
  </si>
  <si>
    <t xml:space="preserve">Discounted cash flow: bear case</t>
  </si>
  <si>
    <t xml:space="preserve">Discounted cash flow: bull case</t>
  </si>
  <si>
    <t xml:space="preserve">Base case: value per share (p) by WACC and terminal growth</t>
  </si>
  <si>
    <t xml:space="preserve">Each cell re-discounts the base-case cash flows. Rows move WACC around the model's rate; columns move terminal growth.</t>
  </si>
  <si>
    <t xml:space="preserve">WACC \ terminal growth</t>
  </si>
  <si>
    <t xml:space="preserve">Cells above the share price</t>
  </si>
  <si>
    <t xml:space="preserve">Cross-checks: peer multiples and a recent takeover</t>
  </si>
  <si>
    <t xml:space="preserve">Consensus adjusted EPS from S&amp;P Global via stockanalysis.com. Prices are the latest on the page as of 6-8 Oct 2026.</t>
  </si>
  <si>
    <t xml:space="preserve">Company</t>
  </si>
  <si>
    <t xml:space="preserve">Ticker</t>
  </si>
  <si>
    <t xml:space="preserve">Currency</t>
  </si>
  <si>
    <t xml:space="preserve">Price date</t>
  </si>
  <si>
    <t xml:space="preserve">EPS 2026E</t>
  </si>
  <si>
    <t xml:space="preserve">P/E 2026E</t>
  </si>
  <si>
    <t xml:space="preserve">Notes</t>
  </si>
  <si>
    <t xml:space="preserve">Rolls-Royce</t>
  </si>
  <si>
    <t xml:space="preserve">RR.L</t>
  </si>
  <si>
    <t xml:space="preserve">pence</t>
  </si>
  <si>
    <t xml:space="preserve">8 Oct 2026</t>
  </si>
  <si>
    <t xml:space="preserve">Engines; services earned per flying hour</t>
  </si>
  <si>
    <t xml:space="preserve">Safran</t>
  </si>
  <si>
    <t xml:space="preserve">SAF.PA</t>
  </si>
  <si>
    <t xml:space="preserve">EUR</t>
  </si>
  <si>
    <t xml:space="preserve">6 Oct 2026</t>
  </si>
  <si>
    <t xml:space="preserve">Engines (CFM with GE) and equipment</t>
  </si>
  <si>
    <t xml:space="preserve">MTU Aero Engines</t>
  </si>
  <si>
    <t xml:space="preserve">MTX.DE</t>
  </si>
  <si>
    <t xml:space="preserve">Engine parts partner, like GKN's RRSP model</t>
  </si>
  <si>
    <t xml:space="preserve">GE Aerospace</t>
  </si>
  <si>
    <t xml:space="preserve">GE</t>
  </si>
  <si>
    <t xml:space="preserve">USD</t>
  </si>
  <si>
    <t xml:space="preserve">7 Oct 2026</t>
  </si>
  <si>
    <t xml:space="preserve">Engines (LEAP, GEnx, GE9X)</t>
  </si>
  <si>
    <t xml:space="preserve">Howmet Aerospace</t>
  </si>
  <si>
    <t xml:space="preserve">HWM</t>
  </si>
  <si>
    <t xml:space="preserve">Engine and airframe components</t>
  </si>
  <si>
    <t xml:space="preserve">Peer median</t>
  </si>
  <si>
    <t xml:space="preserve">Melrose</t>
  </si>
  <si>
    <t xml:space="preserve">MRO.L</t>
  </si>
  <si>
    <t xml:space="preserve">Melrose discount to peer median</t>
  </si>
  <si>
    <t xml:space="preserve">Melrose EPS excluding non-cash VC</t>
  </si>
  <si>
    <t xml:space="preserve">On cash-backed earnings Melrose is not cheap: the debate is when VC turns into cash</t>
  </si>
  <si>
    <t xml:space="preserve">Takeover cross-check: Senior plc (UK aerospace and defence parts maker)</t>
  </si>
  <si>
    <t xml:space="preserve">Senior plc: EV / FY2025 adjusted EBITDA agreed</t>
  </si>
  <si>
    <t xml:space="preserve">Blackstone/Tinicum offer, Rule 2.7 announcement, 7 Apr 2026 (300p a share, EV ~£1,399m)</t>
  </si>
  <si>
    <t xml:space="preserve">Melrose FY2025 adjusted EBITDA</t>
  </si>
  <si>
    <t xml:space="preserve">Adjusted operating profit £647m + D&amp;A £138m</t>
  </si>
  <si>
    <t xml:space="preserve">of which non-cash VC</t>
  </si>
  <si>
    <t xml:space="preserve">Melrose FY2025 EBITDA excluding VC</t>
  </si>
  <si>
    <t xml:space="preserve">Melrose EV / EBITDA</t>
  </si>
  <si>
    <t xml:space="preserve">EV includes leases, matching EBITDA</t>
  </si>
  <si>
    <t xml:space="preserve">Melrose EV / EBITDA excluding VC</t>
  </si>
  <si>
    <t xml:space="preserve">Close to the multiple agreed for Senior</t>
  </si>
  <si>
    <t xml:space="preserve">Value at Senior's multiple, VC worth nothing</t>
  </si>
  <si>
    <t xml:space="preserve">Applies 15.2x to cash EBITDA only</t>
  </si>
  <si>
    <t xml:space="preserve">Value at Senior's multiple, VC worth full value</t>
  </si>
  <si>
    <t xml:space="preserve">Applies 15.2x to all EBITDA</t>
  </si>
  <si>
    <t xml:space="preserve">Reported figures</t>
  </si>
  <si>
    <t xml:space="preserve">FY2024-25 from the FY2025 results (27 Feb 2026); half years from the H1 2026 results (31 Jul 2026). £m unless stated.</t>
  </si>
  <si>
    <t xml:space="preserve">FY2024</t>
  </si>
  <si>
    <t xml:space="preserve">FY2025</t>
  </si>
  <si>
    <t xml:space="preserve">H1 2025</t>
  </si>
  <si>
    <t xml:space="preserve">H1 2026</t>
  </si>
  <si>
    <t xml:space="preserve">Group margin</t>
  </si>
  <si>
    <t xml:space="preserve">Variable consideration in profit (non-cash)</t>
  </si>
  <si>
    <t xml:space="preserve">VC as % of group profit</t>
  </si>
  <si>
    <t xml:space="preserve">Free cash flow (after interest and tax)</t>
  </si>
  <si>
    <t xml:space="preserve">Net debt (excluding leases)</t>
  </si>
  <si>
    <t xml:space="preserve">Shares in issue excluding treasury (m)</t>
  </si>
  <si>
    <t xml:space="preserve">Adjusted diluted EPS (p)</t>
  </si>
  <si>
    <t xml:space="preserve">Dividend per share (p)</t>
  </si>
  <si>
    <t xml:space="preserve">Central costs are group profit less the two divisions. H1 dividend is the interim.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</si>
</sst>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\p"/>
    <numFmt numFmtId="166" formatCode="#,##0\p"/>
    <numFmt numFmtId="167" formatCode="0.0%;\(0.0%\);\-"/>
    <numFmt numFmtId="168" formatCode="#,##0;\(#,##0\);\-"/>
    <numFmt numFmtId="169" formatCode="0.0\x"/>
    <numFmt numFmtId="170" formatCode="0.00%;\(0.00%\);\-"/>
    <numFmt numFmtId="171" formatCode="0.00"/>
    <numFmt numFmtId="172" formatCode="0.000"/>
    <numFmt numFmtId="173" formatCode="0"/>
    <numFmt numFmtId="174" formatCode="#,##0.00"/>
    <numFmt numFmtId="175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tr">
        <f aca="false">IF(Scenarios!B22&gt;=0.15,"BUY",IF(Scenarios!B22&lt;=-0.1,"SELL","HOLD"))</f>
        <v>BUY</v>
      </c>
      <c r="C4" s="4" t="s">
        <v>3</v>
      </c>
    </row>
    <row r="6" customFormat="false" ht="15" hidden="false" customHeight="false" outlineLevel="0" collapsed="false">
      <c r="A6" s="5" t="s">
        <v>4</v>
      </c>
      <c r="B6" s="6" t="n">
        <f aca="false">Inputs!$B$5</f>
        <v>450</v>
      </c>
    </row>
    <row r="7" customFormat="false" ht="15" hidden="false" customHeight="false" outlineLevel="0" collapsed="false">
      <c r="A7" s="5" t="s">
        <v>5</v>
      </c>
      <c r="B7" s="7" t="n">
        <f aca="false">Scenarios!B21</f>
        <v>608.777239618094</v>
      </c>
    </row>
    <row r="8" customFormat="false" ht="15" hidden="false" customHeight="false" outlineLevel="0" collapsed="false">
      <c r="A8" s="5" t="s">
        <v>6</v>
      </c>
      <c r="B8" s="8" t="n">
        <f aca="false">Scenarios!B22</f>
        <v>0.352838310262432</v>
      </c>
    </row>
    <row r="9" customFormat="false" ht="15" hidden="false" customHeight="false" outlineLevel="0" collapsed="false">
      <c r="A9" s="5" t="s">
        <v>7</v>
      </c>
      <c r="B9" s="9" t="n">
        <f aca="false">Inputs!$B$7</f>
        <v>5607</v>
      </c>
    </row>
    <row r="10" customFormat="false" ht="15" hidden="false" customHeight="false" outlineLevel="0" collapsed="false">
      <c r="A10" s="5" t="s">
        <v>8</v>
      </c>
      <c r="B10" s="9" t="n">
        <f aca="false">Inputs!$B$11</f>
        <v>7478</v>
      </c>
    </row>
    <row r="11" customFormat="false" ht="15" hidden="false" customHeight="false" outlineLevel="0" collapsed="false">
      <c r="A11" s="5" t="s">
        <v>9</v>
      </c>
      <c r="B11" s="10" t="n">
        <f aca="false">Comps!G11</f>
        <v>12.8571428571429</v>
      </c>
    </row>
    <row r="12" customFormat="false" ht="15" hidden="false" customHeight="false" outlineLevel="0" collapsed="false">
      <c r="A12" s="5" t="s">
        <v>10</v>
      </c>
      <c r="B12" s="10" t="n">
        <f aca="false">Comps!G10</f>
        <v>31.5642994241843</v>
      </c>
    </row>
    <row r="13" customFormat="false" ht="15" hidden="false" customHeight="false" outlineLevel="0" collapsed="false">
      <c r="A13" s="5" t="s">
        <v>11</v>
      </c>
      <c r="B13" s="10" t="n">
        <f aca="false">Comps!G13</f>
        <v>37.4949846194998</v>
      </c>
    </row>
    <row r="14" customFormat="false" ht="15" hidden="false" customHeight="false" outlineLevel="0" collapsed="false">
      <c r="A14" s="5" t="s">
        <v>12</v>
      </c>
      <c r="B14" s="8" t="n">
        <f aca="false">Inputs!$B$26/Inputs!$B$7</f>
        <v>0.031210986267166</v>
      </c>
    </row>
    <row r="15" customFormat="false" ht="15" hidden="false" customHeight="false" outlineLevel="0" collapsed="false">
      <c r="A15" s="5" t="s">
        <v>13</v>
      </c>
      <c r="B15" s="8" t="n">
        <f aca="false">Inputs!$B$36/Inputs!$B$7</f>
        <v>0.0980203317281969</v>
      </c>
    </row>
    <row r="16" customFormat="false" ht="15" hidden="false" customHeight="false" outlineLevel="0" collapsed="false">
      <c r="A16" s="5" t="s">
        <v>14</v>
      </c>
      <c r="B16" s="11" t="n">
        <f aca="false">Inputs!$B$71</f>
        <v>0.0935559899117276</v>
      </c>
    </row>
    <row r="18" customFormat="false" ht="15" hidden="false" customHeight="false" outlineLevel="0" collapsed="false">
      <c r="A18" s="12" t="s">
        <v>15</v>
      </c>
      <c r="B18" s="13" t="s">
        <v>16</v>
      </c>
      <c r="C18" s="13" t="s">
        <v>6</v>
      </c>
      <c r="D18" s="13" t="s">
        <v>17</v>
      </c>
      <c r="E18" s="13" t="s">
        <v>18</v>
      </c>
      <c r="F18" s="13" t="s">
        <v>19</v>
      </c>
    </row>
    <row r="19" customFormat="false" ht="15" hidden="false" customHeight="false" outlineLevel="0" collapsed="false">
      <c r="A19" s="5" t="s">
        <v>20</v>
      </c>
      <c r="B19" s="7" t="n">
        <f aca="false">Scenarios!B15</f>
        <v>363.045574891454</v>
      </c>
      <c r="C19" s="8" t="n">
        <f aca="false">Scenarios!B16</f>
        <v>-0.193232055796769</v>
      </c>
      <c r="D19" s="8" t="n">
        <f aca="false">Scenarios!B11</f>
        <v>0.25</v>
      </c>
      <c r="E19" s="9" t="n">
        <f aca="false">Scenarios!B17</f>
        <v>277.082678852</v>
      </c>
      <c r="F19" s="8" t="n">
        <f aca="false">Scenarios!B18</f>
        <v>0.504153345800582</v>
      </c>
    </row>
    <row r="20" customFormat="false" ht="15" hidden="false" customHeight="false" outlineLevel="0" collapsed="false">
      <c r="A20" s="5" t="s">
        <v>21</v>
      </c>
      <c r="B20" s="7" t="n">
        <f aca="false">Scenarios!C15</f>
        <v>623.379395290555</v>
      </c>
      <c r="C20" s="8" t="n">
        <f aca="false">Scenarios!C16</f>
        <v>0.385287545090121</v>
      </c>
      <c r="D20" s="8" t="n">
        <f aca="false">Scenarios!C11</f>
        <v>0.5</v>
      </c>
      <c r="E20" s="9" t="n">
        <f aca="false">Scenarios!C17</f>
        <v>485.92613762</v>
      </c>
      <c r="F20" s="8" t="n">
        <f aca="false">Scenarios!C18</f>
        <v>0.884145083005823</v>
      </c>
    </row>
    <row r="21" customFormat="false" ht="15" hidden="false" customHeight="false" outlineLevel="0" collapsed="false">
      <c r="A21" s="5" t="s">
        <v>22</v>
      </c>
      <c r="B21" s="7" t="n">
        <f aca="false">Scenarios!D15</f>
        <v>825.304592999814</v>
      </c>
      <c r="C21" s="8" t="n">
        <f aca="false">Scenarios!D16</f>
        <v>0.834010206666254</v>
      </c>
      <c r="D21" s="8" t="n">
        <f aca="false">Scenarios!D11</f>
        <v>0.25</v>
      </c>
      <c r="E21" s="9" t="n">
        <f aca="false">Scenarios!D17</f>
        <v>614.48232446125</v>
      </c>
      <c r="F21" s="8" t="n">
        <f aca="false">Scenarios!D18</f>
        <v>1.11805371990766</v>
      </c>
    </row>
    <row r="23" customFormat="false" ht="15" hidden="false" customHeight="false" outlineLevel="0" collapsed="false">
      <c r="A23" s="12" t="s">
        <v>23</v>
      </c>
      <c r="B23" s="13" t="s">
        <v>24</v>
      </c>
      <c r="C23" s="13" t="s">
        <v>25</v>
      </c>
      <c r="D23" s="13" t="s">
        <v>26</v>
      </c>
    </row>
    <row r="24" customFormat="false" ht="15" hidden="false" customHeight="false" outlineLevel="0" collapsed="false">
      <c r="A24" s="5" t="s">
        <v>27</v>
      </c>
      <c r="B24" s="7" t="n">
        <f aca="false">Inputs!$B$12</f>
        <v>409.9</v>
      </c>
      <c r="C24" s="7" t="n">
        <f aca="false">Inputs!$B$13</f>
        <v>682.6</v>
      </c>
      <c r="D24" s="4" t="s">
        <v>28</v>
      </c>
    </row>
    <row r="25" customFormat="false" ht="15" hidden="false" customHeight="false" outlineLevel="0" collapsed="false">
      <c r="A25" s="5" t="s">
        <v>29</v>
      </c>
      <c r="B25" s="7" t="n">
        <f aca="false">Inputs!$B$17</f>
        <v>450</v>
      </c>
      <c r="C25" s="7" t="n">
        <f aca="false">Inputs!$B$18</f>
        <v>825</v>
      </c>
      <c r="D25" s="4" t="s">
        <v>30</v>
      </c>
    </row>
    <row r="26" customFormat="false" ht="15" hidden="false" customHeight="false" outlineLevel="0" collapsed="false">
      <c r="A26" s="5" t="s">
        <v>31</v>
      </c>
      <c r="B26" s="7" t="n">
        <f aca="false">Comps!G22</f>
        <v>402.584269662921</v>
      </c>
      <c r="C26" s="7" t="n">
        <f aca="false">Comps!G23</f>
        <v>797.833065810594</v>
      </c>
      <c r="D26" s="4" t="s">
        <v>32</v>
      </c>
    </row>
    <row r="27" customFormat="false" ht="15" hidden="false" customHeight="false" outlineLevel="0" collapsed="false">
      <c r="A27" s="5" t="s">
        <v>33</v>
      </c>
      <c r="B27" s="7" t="n">
        <f aca="false">MIN(Sensitivity!C6:E8)</f>
        <v>539.098075606156</v>
      </c>
      <c r="C27" s="7" t="n">
        <f aca="false">MAX(Sensitivity!C6:E8)</f>
        <v>735.719581228358</v>
      </c>
      <c r="D27" s="4" t="s">
        <v>34</v>
      </c>
    </row>
    <row r="28" customFormat="false" ht="15" hidden="false" customHeight="false" outlineLevel="0" collapsed="false">
      <c r="A28" s="5" t="s">
        <v>35</v>
      </c>
      <c r="B28" s="7" t="n">
        <f aca="false">Scenarios!B15</f>
        <v>363.045574891454</v>
      </c>
      <c r="C28" s="7" t="n">
        <f aca="false">Scenarios!D15</f>
        <v>825.304592999814</v>
      </c>
      <c r="D28" s="4" t="s">
        <v>36</v>
      </c>
    </row>
    <row r="30" customFormat="false" ht="15" hidden="false" customHeight="false" outlineLevel="0" collapsed="false">
      <c r="A30" s="2" t="s">
        <v>37</v>
      </c>
    </row>
    <row r="31" customFormat="false" ht="15" hidden="false" customHeight="false" outlineLevel="0" collapsed="false">
      <c r="A31" s="2" t="s">
        <v>38</v>
      </c>
    </row>
    <row r="32" customFormat="false" ht="15" hidden="false" customHeight="false" outlineLevel="0" collapsed="false">
      <c r="A32" s="2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92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41</v>
      </c>
    </row>
    <row r="3" customFormat="false" ht="15" hidden="false" customHeight="false" outlineLevel="0" collapsed="false">
      <c r="A3" s="12" t="s">
        <v>42</v>
      </c>
      <c r="B3" s="13" t="s">
        <v>16</v>
      </c>
      <c r="C3" s="13" t="s">
        <v>43</v>
      </c>
      <c r="D3" s="13" t="s">
        <v>44</v>
      </c>
    </row>
    <row r="4" customFormat="false" ht="15" hidden="false" customHeight="false" outlineLevel="0" collapsed="false">
      <c r="A4" s="14" t="s">
        <v>45</v>
      </c>
      <c r="B4" s="15"/>
      <c r="C4" s="15"/>
      <c r="D4" s="15"/>
    </row>
    <row r="5" customFormat="false" ht="15" hidden="false" customHeight="false" outlineLevel="0" collapsed="false">
      <c r="A5" s="5" t="s">
        <v>46</v>
      </c>
      <c r="B5" s="16" t="n">
        <v>450</v>
      </c>
      <c r="C5" s="4" t="s">
        <v>47</v>
      </c>
      <c r="D5" s="4" t="s">
        <v>48</v>
      </c>
    </row>
    <row r="6" customFormat="false" ht="15" hidden="false" customHeight="false" outlineLevel="0" collapsed="false">
      <c r="A6" s="5" t="s">
        <v>49</v>
      </c>
      <c r="B6" s="17" t="n">
        <v>1246</v>
      </c>
      <c r="C6" s="4" t="s">
        <v>50</v>
      </c>
      <c r="D6" s="4" t="s">
        <v>51</v>
      </c>
    </row>
    <row r="7" customFormat="false" ht="15" hidden="false" customHeight="false" outlineLevel="0" collapsed="false">
      <c r="A7" s="5" t="s">
        <v>52</v>
      </c>
      <c r="B7" s="18" t="n">
        <f aca="false">B5*B6/100</f>
        <v>5607</v>
      </c>
      <c r="C7" s="4" t="s">
        <v>53</v>
      </c>
      <c r="D7" s="4" t="s">
        <v>54</v>
      </c>
    </row>
    <row r="8" customFormat="false" ht="15" hidden="false" customHeight="false" outlineLevel="0" collapsed="false">
      <c r="A8" s="5" t="s">
        <v>55</v>
      </c>
      <c r="B8" s="17" t="n">
        <v>1530</v>
      </c>
      <c r="C8" s="4" t="s">
        <v>53</v>
      </c>
      <c r="D8" s="4" t="s">
        <v>56</v>
      </c>
    </row>
    <row r="9" customFormat="false" ht="15" hidden="false" customHeight="false" outlineLevel="0" collapsed="false">
      <c r="A9" s="5" t="s">
        <v>57</v>
      </c>
      <c r="B9" s="17" t="n">
        <v>330</v>
      </c>
      <c r="C9" s="4" t="s">
        <v>53</v>
      </c>
      <c r="D9" s="4" t="s">
        <v>58</v>
      </c>
    </row>
    <row r="10" customFormat="false" ht="15" hidden="false" customHeight="false" outlineLevel="0" collapsed="false">
      <c r="A10" s="5" t="s">
        <v>59</v>
      </c>
      <c r="B10" s="17" t="n">
        <v>11</v>
      </c>
      <c r="C10" s="4" t="s">
        <v>53</v>
      </c>
      <c r="D10" s="4" t="s">
        <v>60</v>
      </c>
    </row>
    <row r="11" customFormat="false" ht="15" hidden="false" customHeight="false" outlineLevel="0" collapsed="false">
      <c r="A11" s="5" t="s">
        <v>61</v>
      </c>
      <c r="B11" s="18" t="n">
        <f aca="false">B7+B8+B9+B10</f>
        <v>7478</v>
      </c>
      <c r="C11" s="4" t="s">
        <v>53</v>
      </c>
      <c r="D11" s="4" t="s">
        <v>62</v>
      </c>
    </row>
    <row r="12" customFormat="false" ht="15" hidden="false" customHeight="false" outlineLevel="0" collapsed="false">
      <c r="A12" s="5" t="s">
        <v>63</v>
      </c>
      <c r="B12" s="16" t="n">
        <v>409.9</v>
      </c>
      <c r="C12" s="4" t="s">
        <v>47</v>
      </c>
      <c r="D12" s="4" t="s">
        <v>64</v>
      </c>
    </row>
    <row r="13" customFormat="false" ht="15" hidden="false" customHeight="false" outlineLevel="0" collapsed="false">
      <c r="A13" s="5" t="s">
        <v>65</v>
      </c>
      <c r="B13" s="16" t="n">
        <v>682.6</v>
      </c>
      <c r="C13" s="4" t="s">
        <v>47</v>
      </c>
      <c r="D13" s="4" t="s">
        <v>66</v>
      </c>
    </row>
    <row r="14" customFormat="false" ht="15" hidden="false" customHeight="false" outlineLevel="0" collapsed="false">
      <c r="A14" s="5" t="s">
        <v>67</v>
      </c>
      <c r="B14" s="16" t="n">
        <v>35</v>
      </c>
      <c r="C14" s="4" t="s">
        <v>47</v>
      </c>
      <c r="D14" s="4" t="s">
        <v>68</v>
      </c>
    </row>
    <row r="15" customFormat="false" ht="15" hidden="false" customHeight="false" outlineLevel="0" collapsed="false">
      <c r="A15" s="5" t="s">
        <v>69</v>
      </c>
      <c r="B15" s="16" t="n">
        <v>45</v>
      </c>
      <c r="C15" s="4" t="s">
        <v>47</v>
      </c>
      <c r="D15" s="4" t="s">
        <v>70</v>
      </c>
    </row>
    <row r="16" customFormat="false" ht="15" hidden="false" customHeight="false" outlineLevel="0" collapsed="false">
      <c r="A16" s="5" t="s">
        <v>71</v>
      </c>
      <c r="B16" s="16" t="n">
        <v>663</v>
      </c>
      <c r="C16" s="4" t="s">
        <v>47</v>
      </c>
      <c r="D16" s="4" t="s">
        <v>72</v>
      </c>
    </row>
    <row r="17" customFormat="false" ht="15" hidden="false" customHeight="false" outlineLevel="0" collapsed="false">
      <c r="A17" s="5" t="s">
        <v>73</v>
      </c>
      <c r="B17" s="16" t="n">
        <v>450</v>
      </c>
      <c r="C17" s="4" t="s">
        <v>47</v>
      </c>
      <c r="D17" s="4" t="s">
        <v>70</v>
      </c>
    </row>
    <row r="18" customFormat="false" ht="15" hidden="false" customHeight="false" outlineLevel="0" collapsed="false">
      <c r="A18" s="5" t="s">
        <v>74</v>
      </c>
      <c r="B18" s="16" t="n">
        <v>825</v>
      </c>
      <c r="C18" s="4" t="s">
        <v>47</v>
      </c>
      <c r="D18" s="4" t="s">
        <v>70</v>
      </c>
    </row>
    <row r="19" customFormat="false" ht="15" hidden="false" customHeight="false" outlineLevel="0" collapsed="false">
      <c r="A19" s="14" t="s">
        <v>75</v>
      </c>
      <c r="B19" s="15"/>
      <c r="C19" s="15"/>
      <c r="D19" s="15"/>
    </row>
    <row r="20" customFormat="false" ht="15" hidden="false" customHeight="false" outlineLevel="0" collapsed="false">
      <c r="A20" s="5" t="s">
        <v>76</v>
      </c>
      <c r="B20" s="17" t="n">
        <v>1750</v>
      </c>
      <c r="C20" s="4" t="s">
        <v>53</v>
      </c>
      <c r="D20" s="4" t="s">
        <v>77</v>
      </c>
    </row>
    <row r="21" customFormat="false" ht="15" hidden="false" customHeight="false" outlineLevel="0" collapsed="false">
      <c r="A21" s="5" t="s">
        <v>78</v>
      </c>
      <c r="B21" s="17" t="n">
        <v>580</v>
      </c>
      <c r="C21" s="4" t="s">
        <v>53</v>
      </c>
      <c r="D21" s="4" t="s">
        <v>79</v>
      </c>
    </row>
    <row r="22" customFormat="false" ht="15" hidden="false" customHeight="false" outlineLevel="0" collapsed="false">
      <c r="A22" s="5" t="s">
        <v>80</v>
      </c>
      <c r="B22" s="17" t="n">
        <v>2100</v>
      </c>
      <c r="C22" s="4" t="s">
        <v>53</v>
      </c>
      <c r="D22" s="4" t="s">
        <v>81</v>
      </c>
    </row>
    <row r="23" customFormat="false" ht="15" hidden="false" customHeight="false" outlineLevel="0" collapsed="false">
      <c r="A23" s="5" t="s">
        <v>82</v>
      </c>
      <c r="B23" s="17" t="n">
        <v>180</v>
      </c>
      <c r="C23" s="4" t="s">
        <v>53</v>
      </c>
      <c r="D23" s="4" t="s">
        <v>83</v>
      </c>
    </row>
    <row r="24" customFormat="false" ht="15" hidden="false" customHeight="false" outlineLevel="0" collapsed="false">
      <c r="A24" s="5" t="s">
        <v>84</v>
      </c>
      <c r="B24" s="17" t="n">
        <v>725</v>
      </c>
      <c r="C24" s="4" t="s">
        <v>53</v>
      </c>
      <c r="D24" s="4" t="s">
        <v>85</v>
      </c>
    </row>
    <row r="25" customFormat="false" ht="15" hidden="false" customHeight="false" outlineLevel="0" collapsed="false">
      <c r="A25" s="5" t="s">
        <v>86</v>
      </c>
      <c r="B25" s="17" t="n">
        <v>360</v>
      </c>
      <c r="C25" s="4" t="s">
        <v>53</v>
      </c>
      <c r="D25" s="4" t="s">
        <v>87</v>
      </c>
    </row>
    <row r="26" customFormat="false" ht="15" hidden="false" customHeight="false" outlineLevel="0" collapsed="false">
      <c r="A26" s="5" t="s">
        <v>88</v>
      </c>
      <c r="B26" s="17" t="n">
        <v>175</v>
      </c>
      <c r="C26" s="4" t="s">
        <v>53</v>
      </c>
      <c r="D26" s="4" t="s">
        <v>89</v>
      </c>
    </row>
    <row r="27" customFormat="false" ht="15" hidden="false" customHeight="false" outlineLevel="0" collapsed="false">
      <c r="A27" s="5" t="s">
        <v>90</v>
      </c>
      <c r="B27" s="18" t="n">
        <f aca="false">B21+B23-B24</f>
        <v>35</v>
      </c>
      <c r="C27" s="4" t="s">
        <v>53</v>
      </c>
      <c r="D27" s="4" t="s">
        <v>91</v>
      </c>
    </row>
    <row r="28" customFormat="false" ht="15" hidden="false" customHeight="false" outlineLevel="0" collapsed="false">
      <c r="A28" s="14" t="s">
        <v>92</v>
      </c>
      <c r="B28" s="15"/>
      <c r="C28" s="15"/>
      <c r="D28" s="15"/>
    </row>
    <row r="29" customFormat="false" ht="15" hidden="false" customHeight="false" outlineLevel="0" collapsed="false">
      <c r="A29" s="5" t="s">
        <v>93</v>
      </c>
      <c r="B29" s="17" t="n">
        <v>5000</v>
      </c>
      <c r="C29" s="4" t="s">
        <v>53</v>
      </c>
      <c r="D29" s="4" t="s">
        <v>94</v>
      </c>
    </row>
    <row r="30" customFormat="false" ht="15" hidden="false" customHeight="false" outlineLevel="0" collapsed="false">
      <c r="A30" s="5" t="s">
        <v>95</v>
      </c>
      <c r="B30" s="17" t="n">
        <v>1200</v>
      </c>
      <c r="C30" s="4" t="s">
        <v>53</v>
      </c>
      <c r="D30" s="4" t="s">
        <v>96</v>
      </c>
    </row>
    <row r="31" customFormat="false" ht="15" hidden="false" customHeight="false" outlineLevel="0" collapsed="false">
      <c r="A31" s="5" t="s">
        <v>88</v>
      </c>
      <c r="B31" s="17" t="n">
        <v>600</v>
      </c>
      <c r="C31" s="4" t="s">
        <v>53</v>
      </c>
      <c r="D31" s="4" t="s">
        <v>97</v>
      </c>
    </row>
    <row r="32" customFormat="false" ht="15" hidden="false" customHeight="false" outlineLevel="0" collapsed="false">
      <c r="A32" s="5" t="s">
        <v>98</v>
      </c>
      <c r="B32" s="19" t="n">
        <v>0.007</v>
      </c>
      <c r="C32" s="4" t="s">
        <v>99</v>
      </c>
      <c r="D32" s="4" t="s">
        <v>100</v>
      </c>
    </row>
    <row r="33" customFormat="false" ht="15" hidden="false" customHeight="false" outlineLevel="0" collapsed="false">
      <c r="A33" s="5" t="s">
        <v>101</v>
      </c>
      <c r="B33" s="20" t="n">
        <v>1.37</v>
      </c>
      <c r="C33" s="4" t="s">
        <v>102</v>
      </c>
      <c r="D33" s="4" t="s">
        <v>103</v>
      </c>
    </row>
    <row r="34" customFormat="false" ht="15" hidden="false" customHeight="false" outlineLevel="0" collapsed="false">
      <c r="A34" s="5" t="s">
        <v>104</v>
      </c>
      <c r="B34" s="20" t="n">
        <v>1.25</v>
      </c>
      <c r="C34" s="4" t="s">
        <v>102</v>
      </c>
      <c r="D34" s="4" t="s">
        <v>94</v>
      </c>
    </row>
    <row r="35" customFormat="false" ht="15" hidden="false" customHeight="false" outlineLevel="0" collapsed="false">
      <c r="A35" s="5" t="s">
        <v>105</v>
      </c>
      <c r="B35" s="21" t="n">
        <f aca="false">1-B32*(B33-B34)*100</f>
        <v>0.916</v>
      </c>
      <c r="C35" s="4" t="s">
        <v>106</v>
      </c>
      <c r="D35" s="4" t="s">
        <v>107</v>
      </c>
    </row>
    <row r="36" customFormat="false" ht="15" hidden="false" customHeight="false" outlineLevel="0" collapsed="false">
      <c r="A36" s="5" t="s">
        <v>108</v>
      </c>
      <c r="B36" s="18" t="n">
        <f aca="false">B31*B35</f>
        <v>549.6</v>
      </c>
      <c r="C36" s="4" t="s">
        <v>53</v>
      </c>
      <c r="D36" s="4" t="s">
        <v>109</v>
      </c>
    </row>
    <row r="37" customFormat="false" ht="15" hidden="false" customHeight="false" outlineLevel="0" collapsed="false">
      <c r="A37" s="14" t="s">
        <v>110</v>
      </c>
      <c r="B37" s="15"/>
      <c r="C37" s="15"/>
      <c r="D37" s="15"/>
    </row>
    <row r="38" customFormat="false" ht="15" hidden="false" customHeight="false" outlineLevel="0" collapsed="false">
      <c r="A38" s="5" t="s">
        <v>111</v>
      </c>
      <c r="B38" s="17" t="n">
        <v>46</v>
      </c>
      <c r="C38" s="4" t="s">
        <v>53</v>
      </c>
      <c r="D38" s="4" t="s">
        <v>112</v>
      </c>
    </row>
    <row r="39" customFormat="false" ht="15" hidden="false" customHeight="false" outlineLevel="0" collapsed="false">
      <c r="A39" s="5" t="s">
        <v>113</v>
      </c>
      <c r="B39" s="17" t="n">
        <v>39</v>
      </c>
      <c r="C39" s="4" t="s">
        <v>53</v>
      </c>
      <c r="D39" s="4" t="s">
        <v>114</v>
      </c>
    </row>
    <row r="40" customFormat="false" ht="15" hidden="false" customHeight="false" outlineLevel="0" collapsed="false">
      <c r="A40" s="14" t="s">
        <v>115</v>
      </c>
      <c r="B40" s="15"/>
      <c r="C40" s="15"/>
      <c r="D40" s="15"/>
    </row>
    <row r="41" customFormat="false" ht="15" hidden="false" customHeight="false" outlineLevel="0" collapsed="false">
      <c r="A41" s="5" t="s">
        <v>95</v>
      </c>
      <c r="B41" s="17" t="n">
        <v>347</v>
      </c>
      <c r="C41" s="4" t="s">
        <v>53</v>
      </c>
      <c r="D41" s="4" t="s">
        <v>60</v>
      </c>
    </row>
    <row r="42" customFormat="false" ht="15" hidden="false" customHeight="false" outlineLevel="0" collapsed="false">
      <c r="A42" s="5" t="s">
        <v>116</v>
      </c>
      <c r="B42" s="17" t="n">
        <v>206</v>
      </c>
      <c r="C42" s="4" t="s">
        <v>53</v>
      </c>
      <c r="D42" s="4" t="s">
        <v>60</v>
      </c>
    </row>
    <row r="43" customFormat="false" ht="15" hidden="false" customHeight="false" outlineLevel="0" collapsed="false">
      <c r="A43" s="5" t="s">
        <v>117</v>
      </c>
      <c r="B43" s="17" t="n">
        <v>28</v>
      </c>
      <c r="C43" s="4" t="s">
        <v>53</v>
      </c>
      <c r="D43" s="4" t="s">
        <v>60</v>
      </c>
    </row>
    <row r="44" customFormat="false" ht="15" hidden="false" customHeight="false" outlineLevel="0" collapsed="false">
      <c r="A44" s="5" t="s">
        <v>118</v>
      </c>
      <c r="B44" s="17" t="n">
        <v>71</v>
      </c>
      <c r="C44" s="4" t="s">
        <v>53</v>
      </c>
      <c r="D44" s="4" t="s">
        <v>60</v>
      </c>
    </row>
    <row r="45" customFormat="false" ht="15" hidden="false" customHeight="false" outlineLevel="0" collapsed="false">
      <c r="A45" s="5" t="s">
        <v>119</v>
      </c>
      <c r="B45" s="17" t="n">
        <v>5</v>
      </c>
      <c r="C45" s="4" t="s">
        <v>53</v>
      </c>
      <c r="D45" s="4" t="s">
        <v>60</v>
      </c>
    </row>
    <row r="46" customFormat="false" ht="15" hidden="false" customHeight="false" outlineLevel="0" collapsed="false">
      <c r="A46" s="5" t="s">
        <v>120</v>
      </c>
      <c r="B46" s="18" t="n">
        <f aca="false">B43+B44+B45-B55*(B41-B42)</f>
        <v>75.236</v>
      </c>
      <c r="C46" s="4" t="s">
        <v>53</v>
      </c>
      <c r="D46" s="4" t="s">
        <v>121</v>
      </c>
    </row>
    <row r="47" customFormat="false" ht="15" hidden="false" customHeight="false" outlineLevel="0" collapsed="false">
      <c r="A47" s="14" t="s">
        <v>122</v>
      </c>
      <c r="B47" s="15"/>
      <c r="C47" s="15"/>
      <c r="D47" s="15"/>
    </row>
    <row r="48" customFormat="false" ht="15" hidden="false" customHeight="false" outlineLevel="0" collapsed="false">
      <c r="A48" s="5" t="s">
        <v>123</v>
      </c>
      <c r="B48" s="19" t="n">
        <v>0.038</v>
      </c>
      <c r="C48" s="4" t="s">
        <v>124</v>
      </c>
      <c r="D48" s="4" t="s">
        <v>125</v>
      </c>
    </row>
    <row r="49" customFormat="false" ht="15" hidden="false" customHeight="false" outlineLevel="0" collapsed="false">
      <c r="A49" s="5" t="s">
        <v>126</v>
      </c>
      <c r="B49" s="19" t="n">
        <v>0.03</v>
      </c>
      <c r="C49" s="4" t="s">
        <v>124</v>
      </c>
      <c r="D49" s="4" t="s">
        <v>127</v>
      </c>
    </row>
    <row r="50" customFormat="false" ht="15" hidden="false" customHeight="false" outlineLevel="0" collapsed="false">
      <c r="A50" s="5" t="s">
        <v>128</v>
      </c>
      <c r="B50" s="19" t="n">
        <v>0.009</v>
      </c>
      <c r="C50" s="4" t="s">
        <v>124</v>
      </c>
      <c r="D50" s="4" t="s">
        <v>129</v>
      </c>
    </row>
    <row r="51" customFormat="false" ht="15" hidden="false" customHeight="false" outlineLevel="0" collapsed="false">
      <c r="A51" s="5" t="s">
        <v>130</v>
      </c>
      <c r="B51" s="19" t="n">
        <v>0.1</v>
      </c>
      <c r="C51" s="4" t="s">
        <v>131</v>
      </c>
      <c r="D51" s="4" t="s">
        <v>132</v>
      </c>
    </row>
    <row r="52" customFormat="false" ht="15" hidden="false" customHeight="false" outlineLevel="0" collapsed="false">
      <c r="A52" s="5" t="s">
        <v>133</v>
      </c>
      <c r="B52" s="19" t="n">
        <v>0.03</v>
      </c>
      <c r="C52" s="4" t="s">
        <v>134</v>
      </c>
      <c r="D52" s="4" t="s">
        <v>135</v>
      </c>
    </row>
    <row r="53" customFormat="false" ht="15" hidden="false" customHeight="false" outlineLevel="0" collapsed="false">
      <c r="A53" s="5" t="s">
        <v>136</v>
      </c>
      <c r="B53" s="17" t="n">
        <v>5</v>
      </c>
      <c r="C53" s="4" t="s">
        <v>137</v>
      </c>
      <c r="D53" s="4" t="s">
        <v>138</v>
      </c>
    </row>
    <row r="54" customFormat="false" ht="15" hidden="false" customHeight="false" outlineLevel="0" collapsed="false">
      <c r="A54" s="5" t="s">
        <v>139</v>
      </c>
      <c r="B54" s="19" t="n">
        <v>0.025</v>
      </c>
      <c r="C54" s="4" t="s">
        <v>134</v>
      </c>
      <c r="D54" s="4" t="s">
        <v>140</v>
      </c>
    </row>
    <row r="55" customFormat="false" ht="15" hidden="false" customHeight="false" outlineLevel="0" collapsed="false">
      <c r="A55" s="5" t="s">
        <v>141</v>
      </c>
      <c r="B55" s="19" t="n">
        <v>0.204</v>
      </c>
      <c r="C55" s="4" t="s">
        <v>99</v>
      </c>
      <c r="D55" s="4" t="s">
        <v>142</v>
      </c>
    </row>
    <row r="56" customFormat="false" ht="15" hidden="false" customHeight="false" outlineLevel="0" collapsed="false">
      <c r="A56" s="5" t="s">
        <v>143</v>
      </c>
      <c r="B56" s="17" t="n">
        <v>50</v>
      </c>
      <c r="C56" s="4" t="s">
        <v>53</v>
      </c>
      <c r="D56" s="4" t="s">
        <v>144</v>
      </c>
    </row>
    <row r="57" customFormat="false" ht="15" hidden="false" customHeight="false" outlineLevel="0" collapsed="false">
      <c r="A57" s="5" t="s">
        <v>145</v>
      </c>
      <c r="B57" s="17" t="n">
        <v>30</v>
      </c>
      <c r="C57" s="4" t="s">
        <v>53</v>
      </c>
      <c r="D57" s="4" t="s">
        <v>146</v>
      </c>
    </row>
    <row r="58" customFormat="false" ht="15" hidden="false" customHeight="false" outlineLevel="0" collapsed="false">
      <c r="A58" s="5" t="s">
        <v>147</v>
      </c>
      <c r="B58" s="17" t="n">
        <v>15</v>
      </c>
      <c r="C58" s="4" t="s">
        <v>53</v>
      </c>
      <c r="D58" s="4" t="s">
        <v>148</v>
      </c>
    </row>
    <row r="59" customFormat="false" ht="15" hidden="false" customHeight="false" outlineLevel="0" collapsed="false">
      <c r="A59" s="5" t="s">
        <v>149</v>
      </c>
      <c r="B59" s="17" t="n">
        <v>25</v>
      </c>
      <c r="C59" s="4" t="s">
        <v>53</v>
      </c>
      <c r="D59" s="4" t="s">
        <v>150</v>
      </c>
    </row>
    <row r="60" customFormat="false" ht="15" hidden="false" customHeight="false" outlineLevel="0" collapsed="false">
      <c r="A60" s="5" t="s">
        <v>151</v>
      </c>
      <c r="B60" s="17" t="n">
        <v>15</v>
      </c>
      <c r="C60" s="4" t="s">
        <v>53</v>
      </c>
      <c r="D60" s="4" t="s">
        <v>152</v>
      </c>
    </row>
    <row r="61" customFormat="false" ht="15" hidden="false" customHeight="false" outlineLevel="0" collapsed="false">
      <c r="A61" s="5" t="s">
        <v>153</v>
      </c>
      <c r="B61" s="17" t="n">
        <v>5</v>
      </c>
      <c r="C61" s="4" t="s">
        <v>53</v>
      </c>
      <c r="D61" s="4" t="s">
        <v>152</v>
      </c>
    </row>
    <row r="62" customFormat="false" ht="15" hidden="false" customHeight="false" outlineLevel="0" collapsed="false">
      <c r="A62" s="14" t="s">
        <v>154</v>
      </c>
      <c r="B62" s="15"/>
      <c r="C62" s="15"/>
      <c r="D62" s="15"/>
    </row>
    <row r="63" customFormat="false" ht="15" hidden="false" customHeight="false" outlineLevel="0" collapsed="false">
      <c r="A63" s="5" t="s">
        <v>155</v>
      </c>
      <c r="B63" s="22" t="n">
        <v>0.0548</v>
      </c>
      <c r="C63" s="4" t="s">
        <v>99</v>
      </c>
      <c r="D63" s="4" t="s">
        <v>156</v>
      </c>
    </row>
    <row r="64" customFormat="false" ht="15" hidden="false" customHeight="false" outlineLevel="0" collapsed="false">
      <c r="A64" s="5" t="s">
        <v>157</v>
      </c>
      <c r="B64" s="22" t="n">
        <v>0.05</v>
      </c>
      <c r="C64" s="4" t="s">
        <v>99</v>
      </c>
      <c r="D64" s="4" t="s">
        <v>158</v>
      </c>
    </row>
    <row r="65" customFormat="false" ht="15" hidden="false" customHeight="false" outlineLevel="0" collapsed="false">
      <c r="A65" s="5" t="s">
        <v>159</v>
      </c>
      <c r="B65" s="20" t="n">
        <v>1</v>
      </c>
      <c r="C65" s="4" t="s">
        <v>106</v>
      </c>
      <c r="D65" s="4" t="s">
        <v>160</v>
      </c>
    </row>
    <row r="66" customFormat="false" ht="15" hidden="false" customHeight="false" outlineLevel="0" collapsed="false">
      <c r="A66" s="5" t="s">
        <v>161</v>
      </c>
      <c r="B66" s="23" t="n">
        <f aca="false">B63+B65*B64</f>
        <v>0.1048</v>
      </c>
      <c r="C66" s="4" t="s">
        <v>99</v>
      </c>
      <c r="D66" s="4" t="s">
        <v>162</v>
      </c>
    </row>
    <row r="67" customFormat="false" ht="15" hidden="false" customHeight="false" outlineLevel="0" collapsed="false">
      <c r="A67" s="5" t="s">
        <v>163</v>
      </c>
      <c r="B67" s="22" t="n">
        <v>0.015</v>
      </c>
      <c r="C67" s="4" t="s">
        <v>99</v>
      </c>
      <c r="D67" s="4" t="s">
        <v>164</v>
      </c>
    </row>
    <row r="68" customFormat="false" ht="15" hidden="false" customHeight="false" outlineLevel="0" collapsed="false">
      <c r="A68" s="5" t="s">
        <v>165</v>
      </c>
      <c r="B68" s="19" t="n">
        <v>0.25</v>
      </c>
      <c r="C68" s="4" t="s">
        <v>99</v>
      </c>
      <c r="D68" s="4" t="s">
        <v>166</v>
      </c>
    </row>
    <row r="69" customFormat="false" ht="15" hidden="false" customHeight="false" outlineLevel="0" collapsed="false">
      <c r="A69" s="5" t="s">
        <v>167</v>
      </c>
      <c r="B69" s="23" t="n">
        <f aca="false">(B63+B67)*(1-B68)</f>
        <v>0.05235</v>
      </c>
      <c r="C69" s="4" t="s">
        <v>99</v>
      </c>
      <c r="D69" s="4" t="s">
        <v>54</v>
      </c>
    </row>
    <row r="70" customFormat="false" ht="15" hidden="false" customHeight="false" outlineLevel="0" collapsed="false">
      <c r="A70" s="5" t="s">
        <v>168</v>
      </c>
      <c r="B70" s="24" t="n">
        <f aca="false">B7/(B7+B8)</f>
        <v>0.78562421185372</v>
      </c>
      <c r="C70" s="4" t="s">
        <v>99</v>
      </c>
      <c r="D70" s="4" t="s">
        <v>169</v>
      </c>
    </row>
    <row r="71" customFormat="false" ht="15" hidden="false" customHeight="false" outlineLevel="0" collapsed="false">
      <c r="A71" s="5" t="s">
        <v>14</v>
      </c>
      <c r="B71" s="23" t="n">
        <f aca="false">B70*B66+(1-B70)*B69</f>
        <v>0.0935559899117276</v>
      </c>
      <c r="C71" s="4" t="s">
        <v>99</v>
      </c>
      <c r="D71" s="4" t="s">
        <v>54</v>
      </c>
    </row>
    <row r="72" customFormat="false" ht="15" hidden="false" customHeight="false" outlineLevel="0" collapsed="false">
      <c r="A72" s="5" t="s">
        <v>170</v>
      </c>
      <c r="B72" s="22" t="n">
        <v>0.025</v>
      </c>
      <c r="C72" s="4" t="s">
        <v>99</v>
      </c>
      <c r="D72" s="4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1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1" t="s">
        <v>172</v>
      </c>
    </row>
    <row r="2" customFormat="false" ht="15" hidden="false" customHeight="false" outlineLevel="0" collapsed="false">
      <c r="A2" s="2" t="s">
        <v>173</v>
      </c>
    </row>
    <row r="3" customFormat="false" ht="15" hidden="false" customHeight="false" outlineLevel="0" collapsed="false">
      <c r="A3" s="12" t="s">
        <v>174</v>
      </c>
      <c r="B3" s="13" t="s">
        <v>20</v>
      </c>
      <c r="C3" s="13" t="s">
        <v>21</v>
      </c>
      <c r="D3" s="13" t="s">
        <v>22</v>
      </c>
      <c r="E3" s="13" t="s">
        <v>175</v>
      </c>
    </row>
    <row r="4" customFormat="false" ht="15" hidden="false" customHeight="false" outlineLevel="0" collapsed="false">
      <c r="A4" s="5" t="s">
        <v>176</v>
      </c>
      <c r="B4" s="25" t="n">
        <v>0.05</v>
      </c>
      <c r="C4" s="25" t="n">
        <v>0.08</v>
      </c>
      <c r="D4" s="25" t="n">
        <v>0.1</v>
      </c>
      <c r="E4" s="4" t="s">
        <v>177</v>
      </c>
    </row>
    <row r="5" customFormat="false" ht="15" hidden="false" customHeight="false" outlineLevel="0" collapsed="false">
      <c r="A5" s="5" t="s">
        <v>178</v>
      </c>
      <c r="B5" s="25" t="n">
        <v>0.32</v>
      </c>
      <c r="C5" s="25" t="n">
        <v>0.35</v>
      </c>
      <c r="D5" s="25" t="n">
        <v>0.37</v>
      </c>
      <c r="E5" s="4" t="s">
        <v>179</v>
      </c>
    </row>
    <row r="6" customFormat="false" ht="15" hidden="false" customHeight="false" outlineLevel="0" collapsed="false">
      <c r="A6" s="5" t="s">
        <v>180</v>
      </c>
      <c r="B6" s="25" t="n">
        <v>0.03</v>
      </c>
      <c r="C6" s="25" t="n">
        <v>0.05</v>
      </c>
      <c r="D6" s="25" t="n">
        <v>0.065</v>
      </c>
      <c r="E6" s="4" t="s">
        <v>181</v>
      </c>
    </row>
    <row r="7" customFormat="false" ht="15" hidden="false" customHeight="false" outlineLevel="0" collapsed="false">
      <c r="A7" s="5" t="s">
        <v>182</v>
      </c>
      <c r="B7" s="25" t="n">
        <v>0.085</v>
      </c>
      <c r="C7" s="25" t="n">
        <v>0.11</v>
      </c>
      <c r="D7" s="25" t="n">
        <v>0.125</v>
      </c>
      <c r="E7" s="4" t="s">
        <v>183</v>
      </c>
    </row>
    <row r="8" customFormat="false" ht="15" hidden="false" customHeight="false" outlineLevel="0" collapsed="false">
      <c r="A8" s="5" t="s">
        <v>184</v>
      </c>
      <c r="B8" s="25" t="n">
        <v>0.16</v>
      </c>
      <c r="C8" s="25" t="n">
        <v>0.11</v>
      </c>
      <c r="D8" s="25" t="n">
        <v>0.09</v>
      </c>
      <c r="E8" s="4" t="s">
        <v>185</v>
      </c>
    </row>
    <row r="9" customFormat="false" ht="15" hidden="false" customHeight="false" outlineLevel="0" collapsed="false">
      <c r="A9" s="5" t="s">
        <v>186</v>
      </c>
      <c r="B9" s="25" t="n">
        <v>0.08</v>
      </c>
      <c r="C9" s="25" t="n">
        <v>0.05</v>
      </c>
      <c r="D9" s="25" t="n">
        <v>0.025</v>
      </c>
      <c r="E9" s="4" t="s">
        <v>187</v>
      </c>
    </row>
    <row r="10" customFormat="false" ht="15" hidden="false" customHeight="false" outlineLevel="0" collapsed="false">
      <c r="A10" s="5" t="s">
        <v>188</v>
      </c>
      <c r="B10" s="26" t="n">
        <v>250</v>
      </c>
      <c r="C10" s="26" t="n">
        <v>120</v>
      </c>
      <c r="D10" s="26" t="n">
        <v>60</v>
      </c>
      <c r="E10" s="4" t="s">
        <v>189</v>
      </c>
    </row>
    <row r="11" customFormat="false" ht="15" hidden="false" customHeight="false" outlineLevel="0" collapsed="false">
      <c r="A11" s="5" t="s">
        <v>17</v>
      </c>
      <c r="B11" s="25" t="n">
        <v>0.25</v>
      </c>
      <c r="C11" s="25" t="n">
        <v>0.5</v>
      </c>
      <c r="D11" s="25" t="n">
        <v>0.25</v>
      </c>
      <c r="E11" s="4" t="s">
        <v>190</v>
      </c>
    </row>
    <row r="12" customFormat="false" ht="15" hidden="false" customHeight="false" outlineLevel="0" collapsed="false">
      <c r="A12" s="27" t="s">
        <v>191</v>
      </c>
      <c r="B12" s="24" t="n">
        <f aca="false">SUM(B11:D11)</f>
        <v>1</v>
      </c>
    </row>
    <row r="14" customFormat="false" ht="15" hidden="false" customHeight="false" outlineLevel="0" collapsed="false">
      <c r="A14" s="14" t="s">
        <v>192</v>
      </c>
      <c r="B14" s="15"/>
      <c r="C14" s="15"/>
      <c r="D14" s="15"/>
      <c r="E14" s="15"/>
    </row>
    <row r="15" customFormat="false" ht="15" hidden="false" customHeight="false" outlineLevel="0" collapsed="false">
      <c r="A15" s="5" t="s">
        <v>193</v>
      </c>
      <c r="B15" s="7" t="n">
        <f aca="false">DCF_Bear!$D$62</f>
        <v>363.045574891454</v>
      </c>
      <c r="C15" s="7" t="n">
        <f aca="false">DCF_Base!$D$62</f>
        <v>623.379395290555</v>
      </c>
      <c r="D15" s="7" t="n">
        <f aca="false">DCF_Bull!$D$62</f>
        <v>825.304592999814</v>
      </c>
    </row>
    <row r="16" customFormat="false" ht="15" hidden="false" customHeight="false" outlineLevel="0" collapsed="false">
      <c r="A16" s="5" t="s">
        <v>194</v>
      </c>
      <c r="B16" s="8" t="n">
        <f aca="false">DCF_Bear!$D$63</f>
        <v>-0.193232055796769</v>
      </c>
      <c r="C16" s="8" t="n">
        <f aca="false">DCF_Base!$D$63</f>
        <v>0.385287545090121</v>
      </c>
      <c r="D16" s="8" t="n">
        <f aca="false">DCF_Bull!$D$63</f>
        <v>0.834010206666254</v>
      </c>
    </row>
    <row r="17" customFormat="false" ht="15" hidden="false" customHeight="false" outlineLevel="0" collapsed="false">
      <c r="A17" s="5" t="s">
        <v>195</v>
      </c>
      <c r="B17" s="9" t="n">
        <f aca="false">DCF_Bear!$G$67</f>
        <v>277.082678852</v>
      </c>
      <c r="C17" s="9" t="n">
        <f aca="false">DCF_Base!$G$67</f>
        <v>485.92613762</v>
      </c>
      <c r="D17" s="9" t="n">
        <f aca="false">DCF_Bull!$G$67</f>
        <v>614.48232446125</v>
      </c>
    </row>
    <row r="18" customFormat="false" ht="15" hidden="false" customHeight="false" outlineLevel="0" collapsed="false">
      <c r="A18" s="5" t="s">
        <v>196</v>
      </c>
      <c r="B18" s="8" t="n">
        <f aca="false">DCF_Bear!$G$69</f>
        <v>0.504153345800582</v>
      </c>
      <c r="C18" s="8" t="n">
        <f aca="false">DCF_Base!$G$69</f>
        <v>0.884145083005823</v>
      </c>
      <c r="D18" s="8" t="n">
        <f aca="false">DCF_Bull!$G$69</f>
        <v>1.11805371990766</v>
      </c>
    </row>
    <row r="19" customFormat="false" ht="15" hidden="false" customHeight="false" outlineLevel="0" collapsed="false">
      <c r="A19" s="5" t="s">
        <v>197</v>
      </c>
      <c r="B19" s="9" t="n">
        <f aca="false">DCF_Bear!$D$56</f>
        <v>6314.54786314751</v>
      </c>
      <c r="C19" s="9" t="n">
        <f aca="false">DCF_Base!$D$56</f>
        <v>9428.30726532031</v>
      </c>
      <c r="D19" s="9" t="n">
        <f aca="false">DCF_Bull!$D$56</f>
        <v>11884.2952287777</v>
      </c>
    </row>
    <row r="21" customFormat="false" ht="15" hidden="false" customHeight="false" outlineLevel="0" collapsed="false">
      <c r="A21" s="3" t="s">
        <v>198</v>
      </c>
      <c r="B21" s="28" t="n">
        <f aca="false">SUMPRODUCT(B11:D11,B15:D15)</f>
        <v>608.777239618094</v>
      </c>
    </row>
    <row r="22" customFormat="false" ht="15" hidden="false" customHeight="false" outlineLevel="0" collapsed="false">
      <c r="A22" s="3" t="s">
        <v>194</v>
      </c>
      <c r="B22" s="29" t="n">
        <f aca="false">B21/Inputs!$B$5-1</f>
        <v>0.352838310262432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13" min="3" style="0" width="9.51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12" t="s">
        <v>201</v>
      </c>
      <c r="B4" s="13" t="s">
        <v>202</v>
      </c>
      <c r="C4" s="13" t="s">
        <v>203</v>
      </c>
      <c r="D4" s="13" t="s">
        <v>204</v>
      </c>
      <c r="E4" s="13" t="s">
        <v>205</v>
      </c>
      <c r="F4" s="13" t="s">
        <v>206</v>
      </c>
      <c r="G4" s="13" t="s">
        <v>207</v>
      </c>
      <c r="H4" s="13" t="s">
        <v>208</v>
      </c>
      <c r="I4" s="13" t="s">
        <v>209</v>
      </c>
      <c r="J4" s="13" t="s">
        <v>210</v>
      </c>
      <c r="K4" s="13" t="s">
        <v>211</v>
      </c>
      <c r="L4" s="13" t="s">
        <v>212</v>
      </c>
      <c r="M4" s="13" t="s">
        <v>213</v>
      </c>
    </row>
    <row r="5" customFormat="false" ht="15" hidden="false" customHeight="false" outlineLevel="0" collapsed="false">
      <c r="A5" s="5" t="s">
        <v>214</v>
      </c>
      <c r="B5" s="4"/>
      <c r="C5" s="30" t="n">
        <v>2025</v>
      </c>
      <c r="D5" s="30" t="n">
        <v>2026</v>
      </c>
      <c r="E5" s="30" t="n">
        <v>2027</v>
      </c>
      <c r="F5" s="30" t="n">
        <v>2028</v>
      </c>
      <c r="G5" s="30" t="n">
        <v>2029</v>
      </c>
      <c r="H5" s="30" t="n">
        <v>2030</v>
      </c>
      <c r="I5" s="30" t="n">
        <v>2031</v>
      </c>
      <c r="J5" s="30" t="n">
        <v>2032</v>
      </c>
      <c r="K5" s="30" t="n">
        <v>2033</v>
      </c>
      <c r="L5" s="30" t="n">
        <v>2034</v>
      </c>
      <c r="M5" s="30" t="n">
        <v>2035</v>
      </c>
    </row>
    <row r="6" customFormat="false" ht="15" hidden="false" customHeight="false" outlineLevel="0" collapsed="false">
      <c r="A6" s="5" t="s">
        <v>215</v>
      </c>
      <c r="B6" s="4"/>
      <c r="C6" s="31"/>
      <c r="D6" s="31" t="n">
        <f aca="false">MAX(0,D5-2029)</f>
        <v>0</v>
      </c>
      <c r="E6" s="31" t="n">
        <f aca="false">MAX(0,E5-2029)</f>
        <v>0</v>
      </c>
      <c r="F6" s="31" t="n">
        <f aca="false">MAX(0,F5-2029)</f>
        <v>0</v>
      </c>
      <c r="G6" s="31" t="n">
        <f aca="false">MAX(0,G5-2029)</f>
        <v>0</v>
      </c>
      <c r="H6" s="31" t="n">
        <f aca="false">MAX(0,H5-2029)</f>
        <v>1</v>
      </c>
      <c r="I6" s="31" t="n">
        <f aca="false">MAX(0,I5-2029)</f>
        <v>2</v>
      </c>
      <c r="J6" s="31" t="n">
        <f aca="false">MAX(0,J5-2029)</f>
        <v>3</v>
      </c>
      <c r="K6" s="31" t="n">
        <f aca="false">MAX(0,K5-2029)</f>
        <v>4</v>
      </c>
      <c r="L6" s="31" t="n">
        <f aca="false">MAX(0,L5-2029)</f>
        <v>5</v>
      </c>
      <c r="M6" s="31" t="n">
        <f aca="false">MAX(0,M5-2029)</f>
        <v>6</v>
      </c>
    </row>
    <row r="7" customFormat="false" ht="15" hidden="false" customHeight="false" outlineLevel="0" collapsed="false">
      <c r="A7" s="5" t="s">
        <v>216</v>
      </c>
      <c r="B7" s="4" t="s">
        <v>217</v>
      </c>
      <c r="C7" s="24"/>
      <c r="D7" s="24" t="n">
        <f aca="false">MIN(MAX(D5-2026,0),3)/3</f>
        <v>0</v>
      </c>
      <c r="E7" s="24" t="n">
        <f aca="false">MIN(MAX(E5-2026,0),3)/3</f>
        <v>0.333333333333333</v>
      </c>
      <c r="F7" s="24" t="n">
        <f aca="false">MIN(MAX(F5-2026,0),3)/3</f>
        <v>0.666666666666667</v>
      </c>
      <c r="G7" s="24" t="n">
        <f aca="false">MIN(MAX(G5-2026,0),3)/3</f>
        <v>1</v>
      </c>
      <c r="H7" s="24" t="n">
        <f aca="false">MIN(MAX(H5-2026,0),3)/3</f>
        <v>1</v>
      </c>
      <c r="I7" s="24" t="n">
        <f aca="false">MIN(MAX(I5-2026,0),3)/3</f>
        <v>1</v>
      </c>
      <c r="J7" s="24" t="n">
        <f aca="false">MIN(MAX(J5-2026,0),3)/3</f>
        <v>1</v>
      </c>
      <c r="K7" s="24" t="n">
        <f aca="false">MIN(MAX(K5-2026,0),3)/3</f>
        <v>1</v>
      </c>
      <c r="L7" s="24" t="n">
        <f aca="false">MIN(MAX(L5-2026,0),3)/3</f>
        <v>1</v>
      </c>
      <c r="M7" s="24" t="n">
        <f aca="false">MIN(MAX(M5-2026,0),3)/3</f>
        <v>1</v>
      </c>
    </row>
    <row r="8" customFormat="false" ht="15" hidden="false" customHeight="false" outlineLevel="0" collapsed="false">
      <c r="A8" s="5" t="s">
        <v>218</v>
      </c>
      <c r="B8" s="4" t="s">
        <v>219</v>
      </c>
      <c r="C8" s="32"/>
      <c r="D8" s="20" t="n">
        <v>0.25</v>
      </c>
      <c r="E8" s="32" t="n">
        <f aca="false">E5-2026</f>
        <v>1</v>
      </c>
      <c r="F8" s="32" t="n">
        <f aca="false">F5-2026</f>
        <v>2</v>
      </c>
      <c r="G8" s="32" t="n">
        <f aca="false">G5-2026</f>
        <v>3</v>
      </c>
      <c r="H8" s="32" t="n">
        <f aca="false">H5-2026</f>
        <v>4</v>
      </c>
      <c r="I8" s="32" t="n">
        <f aca="false">I5-2026</f>
        <v>5</v>
      </c>
      <c r="J8" s="32" t="n">
        <f aca="false">J5-2026</f>
        <v>6</v>
      </c>
      <c r="K8" s="32" t="n">
        <f aca="false">K5-2026</f>
        <v>7</v>
      </c>
      <c r="L8" s="32" t="n">
        <f aca="false">L5-2026</f>
        <v>8</v>
      </c>
      <c r="M8" s="32" t="n">
        <f aca="false">M5-2026</f>
        <v>9</v>
      </c>
    </row>
    <row r="10" customFormat="false" ht="15" hidden="false" customHeight="false" outlineLevel="0" collapsed="false">
      <c r="A10" s="5" t="s">
        <v>220</v>
      </c>
      <c r="B10" s="4" t="s">
        <v>221</v>
      </c>
      <c r="C10" s="24"/>
      <c r="D10" s="24" t="n">
        <f aca="false">D11/C11-1</f>
        <v>0.0723039215686274</v>
      </c>
      <c r="E10" s="24" t="n">
        <f aca="false">Scenarios!$C$4</f>
        <v>0.08</v>
      </c>
      <c r="F10" s="24" t="n">
        <f aca="false">Scenarios!$C$4</f>
        <v>0.08</v>
      </c>
      <c r="G10" s="24" t="n">
        <f aca="false">Scenarios!$C$4</f>
        <v>0.08</v>
      </c>
      <c r="H10" s="24" t="n">
        <f aca="false">Scenarios!$C$4+(Inputs!$B$54-Scenarios!$C$4)*H6/6</f>
        <v>0.0708333333333333</v>
      </c>
      <c r="I10" s="24" t="n">
        <f aca="false">Scenarios!$C$4+(Inputs!$B$54-Scenarios!$C$4)*I6/6</f>
        <v>0.0616666666666667</v>
      </c>
      <c r="J10" s="24" t="n">
        <f aca="false">Scenarios!$C$4+(Inputs!$B$54-Scenarios!$C$4)*J6/6</f>
        <v>0.0525</v>
      </c>
      <c r="K10" s="24" t="n">
        <f aca="false">Scenarios!$C$4+(Inputs!$B$54-Scenarios!$C$4)*K6/6</f>
        <v>0.0433333333333333</v>
      </c>
      <c r="L10" s="24" t="n">
        <f aca="false">Scenarios!$C$4+(Inputs!$B$54-Scenarios!$C$4)*L6/6</f>
        <v>0.0341666666666667</v>
      </c>
      <c r="M10" s="24" t="n">
        <f aca="false">Scenarios!$C$4+(Inputs!$B$54-Scenarios!$C$4)*M6/6</f>
        <v>0.025</v>
      </c>
    </row>
    <row r="11" customFormat="false" ht="15" hidden="false" customHeight="false" outlineLevel="0" collapsed="false">
      <c r="A11" s="3" t="s">
        <v>76</v>
      </c>
      <c r="B11" s="4" t="s">
        <v>222</v>
      </c>
      <c r="C11" s="33" t="n">
        <v>1632</v>
      </c>
      <c r="D11" s="34" t="n">
        <f aca="false">Inputs!$B$20</f>
        <v>1750</v>
      </c>
      <c r="E11" s="35" t="n">
        <f aca="false">D11*(1+E10)</f>
        <v>1890</v>
      </c>
      <c r="F11" s="35" t="n">
        <f aca="false">E11*(1+F10)</f>
        <v>2041.2</v>
      </c>
      <c r="G11" s="35" t="n">
        <f aca="false">F11*(1+G10)</f>
        <v>2204.496</v>
      </c>
      <c r="H11" s="35" t="n">
        <f aca="false">G11*(1+H10)</f>
        <v>2360.6478</v>
      </c>
      <c r="I11" s="35" t="n">
        <f aca="false">H11*(1+I10)</f>
        <v>2506.221081</v>
      </c>
      <c r="J11" s="35" t="n">
        <f aca="false">I11*(1+J10)</f>
        <v>2637.7976877525</v>
      </c>
      <c r="K11" s="35" t="n">
        <f aca="false">J11*(1+K10)</f>
        <v>2752.10225422178</v>
      </c>
      <c r="L11" s="35" t="n">
        <f aca="false">K11*(1+L10)</f>
        <v>2846.13241457435</v>
      </c>
      <c r="M11" s="35" t="n">
        <f aca="false">L11*(1+M10)</f>
        <v>2917.28572493871</v>
      </c>
    </row>
    <row r="12" customFormat="false" ht="15" hidden="false" customHeight="false" outlineLevel="0" collapsed="false">
      <c r="A12" s="5" t="s">
        <v>223</v>
      </c>
      <c r="B12" s="4" t="s">
        <v>221</v>
      </c>
      <c r="C12" s="24"/>
      <c r="D12" s="24" t="n">
        <f aca="false">D13/C13-1</f>
        <v>0.0730710270822688</v>
      </c>
      <c r="E12" s="24" t="n">
        <f aca="false">Scenarios!$C$6</f>
        <v>0.05</v>
      </c>
      <c r="F12" s="24" t="n">
        <f aca="false">Scenarios!$C$6</f>
        <v>0.05</v>
      </c>
      <c r="G12" s="24" t="n">
        <f aca="false">Scenarios!$C$6</f>
        <v>0.05</v>
      </c>
      <c r="H12" s="24" t="n">
        <f aca="false">Scenarios!$C$6+(Inputs!$B$54-Scenarios!$C$6)*H6/6</f>
        <v>0.0458333333333333</v>
      </c>
      <c r="I12" s="24" t="n">
        <f aca="false">Scenarios!$C$6+(Inputs!$B$54-Scenarios!$C$6)*I6/6</f>
        <v>0.0416666666666667</v>
      </c>
      <c r="J12" s="24" t="n">
        <f aca="false">Scenarios!$C$6+(Inputs!$B$54-Scenarios!$C$6)*J6/6</f>
        <v>0.0375</v>
      </c>
      <c r="K12" s="24" t="n">
        <f aca="false">Scenarios!$C$6+(Inputs!$B$54-Scenarios!$C$6)*K6/6</f>
        <v>0.0333333333333333</v>
      </c>
      <c r="L12" s="24" t="n">
        <f aca="false">Scenarios!$C$6+(Inputs!$B$54-Scenarios!$C$6)*L6/6</f>
        <v>0.0291666666666667</v>
      </c>
      <c r="M12" s="24" t="n">
        <f aca="false">Scenarios!$C$6+(Inputs!$B$54-Scenarios!$C$6)*M6/6</f>
        <v>0.025</v>
      </c>
    </row>
    <row r="13" customFormat="false" ht="15" hidden="false" customHeight="false" outlineLevel="0" collapsed="false">
      <c r="A13" s="5" t="s">
        <v>224</v>
      </c>
      <c r="B13" s="4" t="s">
        <v>225</v>
      </c>
      <c r="C13" s="17" t="n">
        <v>1957</v>
      </c>
      <c r="D13" s="9" t="n">
        <f aca="false">Inputs!$B$22</f>
        <v>2100</v>
      </c>
      <c r="E13" s="18" t="n">
        <f aca="false">D13*(1+E12)</f>
        <v>2205</v>
      </c>
      <c r="F13" s="18" t="n">
        <f aca="false">E13*(1+F12)</f>
        <v>2315.25</v>
      </c>
      <c r="G13" s="18" t="n">
        <f aca="false">F13*(1+G12)</f>
        <v>2431.0125</v>
      </c>
      <c r="H13" s="18" t="n">
        <f aca="false">G13*(1+H12)</f>
        <v>2542.43390625</v>
      </c>
      <c r="I13" s="18" t="n">
        <f aca="false">H13*(1+I12)</f>
        <v>2648.36865234375</v>
      </c>
      <c r="J13" s="18" t="n">
        <f aca="false">I13*(1+J12)</f>
        <v>2747.68247680664</v>
      </c>
      <c r="K13" s="18" t="n">
        <f aca="false">J13*(1+K12)</f>
        <v>2839.2718927002</v>
      </c>
      <c r="L13" s="18" t="n">
        <f aca="false">K13*(1+L12)</f>
        <v>2922.08398957062</v>
      </c>
      <c r="M13" s="18" t="n">
        <f aca="false">L13*(1+M12)</f>
        <v>2995.13608930988</v>
      </c>
    </row>
    <row r="14" customFormat="false" ht="15" hidden="false" customHeight="false" outlineLevel="0" collapsed="false">
      <c r="A14" s="5" t="s">
        <v>226</v>
      </c>
      <c r="B14" s="4" t="s">
        <v>227</v>
      </c>
      <c r="C14" s="18" t="n">
        <v>0</v>
      </c>
      <c r="D14" s="9" t="n">
        <f aca="false">-Inputs!$B$38</f>
        <v>-46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</row>
    <row r="15" customFormat="false" ht="15" hidden="false" customHeight="false" outlineLevel="0" collapsed="false">
      <c r="A15" s="3" t="s">
        <v>228</v>
      </c>
      <c r="B15" s="4"/>
      <c r="C15" s="35" t="n">
        <f aca="false">C11+C13+C14</f>
        <v>3589</v>
      </c>
      <c r="D15" s="35" t="n">
        <f aca="false">D11+D13+D14</f>
        <v>3804</v>
      </c>
      <c r="E15" s="35" t="n">
        <f aca="false">E11+E13+E14</f>
        <v>4095</v>
      </c>
      <c r="F15" s="35" t="n">
        <f aca="false">F11+F13+F14</f>
        <v>4356.45</v>
      </c>
      <c r="G15" s="35" t="n">
        <f aca="false">G11+G13+G14</f>
        <v>4635.5085</v>
      </c>
      <c r="H15" s="35" t="n">
        <f aca="false">H11+H13+H14</f>
        <v>4903.08170625</v>
      </c>
      <c r="I15" s="35" t="n">
        <f aca="false">I11+I13+I14</f>
        <v>5154.58973334375</v>
      </c>
      <c r="J15" s="35" t="n">
        <f aca="false">J11+J13+J14</f>
        <v>5385.48016455914</v>
      </c>
      <c r="K15" s="35" t="n">
        <f aca="false">K11+K13+K14</f>
        <v>5591.37414692197</v>
      </c>
      <c r="L15" s="35" t="n">
        <f aca="false">L11+L13+L14</f>
        <v>5768.21640414497</v>
      </c>
      <c r="M15" s="35" t="n">
        <f aca="false">M11+M13+M14</f>
        <v>5912.4218142486</v>
      </c>
    </row>
    <row r="16" customFormat="false" ht="15" hidden="false" customHeight="false" outlineLevel="0" collapsed="false">
      <c r="A16" s="5" t="s">
        <v>229</v>
      </c>
      <c r="B16" s="4"/>
      <c r="C16" s="24"/>
      <c r="D16" s="24" t="n">
        <f aca="false">D15/C15-1</f>
        <v>0.059905266090833</v>
      </c>
      <c r="E16" s="24" t="n">
        <f aca="false">E15/D15-1</f>
        <v>0.0764984227129337</v>
      </c>
      <c r="F16" s="24" t="n">
        <f aca="false">F15/E15-1</f>
        <v>0.0638461538461541</v>
      </c>
      <c r="G16" s="24" t="n">
        <f aca="false">G15/F15-1</f>
        <v>0.0640563991323211</v>
      </c>
      <c r="H16" s="24" t="n">
        <f aca="false">H15/G15-1</f>
        <v>0.057722514423175</v>
      </c>
      <c r="I16" s="24" t="n">
        <f aca="false">I15/H15-1</f>
        <v>0.0512959077906352</v>
      </c>
      <c r="J16" s="24" t="n">
        <f aca="false">J15/I15-1</f>
        <v>0.0447931732998688</v>
      </c>
      <c r="K16" s="24" t="n">
        <f aca="false">K15/J15-1</f>
        <v>0.0382313138423165</v>
      </c>
      <c r="L16" s="24" t="n">
        <f aca="false">L15/K15-1</f>
        <v>0.031627691615012</v>
      </c>
      <c r="M16" s="24" t="n">
        <f aca="false">M15/L15-1</f>
        <v>0.0249999999999997</v>
      </c>
    </row>
    <row r="18" customFormat="false" ht="15" hidden="false" customHeight="false" outlineLevel="0" collapsed="false">
      <c r="A18" s="5" t="s">
        <v>230</v>
      </c>
      <c r="B18" s="4" t="s">
        <v>231</v>
      </c>
      <c r="C18" s="24" t="n">
        <f aca="false">C19/C11</f>
        <v>0.318627450980392</v>
      </c>
      <c r="D18" s="24" t="n">
        <f aca="false">Inputs!$B$21/Inputs!$B$20</f>
        <v>0.331428571428571</v>
      </c>
      <c r="E18" s="24" t="n">
        <f aca="false">$D18+(Scenarios!$C$5-$D18)*E7</f>
        <v>0.337619047619048</v>
      </c>
      <c r="F18" s="24" t="n">
        <f aca="false">$D18+(Scenarios!$C$5-$D18)*F7</f>
        <v>0.343809523809524</v>
      </c>
      <c r="G18" s="24" t="n">
        <f aca="false">$D18+(Scenarios!$C$5-$D18)*G7</f>
        <v>0.35</v>
      </c>
      <c r="H18" s="24" t="n">
        <f aca="false">$D18+(Scenarios!$C$5-$D18)*H7</f>
        <v>0.35</v>
      </c>
      <c r="I18" s="24" t="n">
        <f aca="false">$D18+(Scenarios!$C$5-$D18)*I7</f>
        <v>0.35</v>
      </c>
      <c r="J18" s="24" t="n">
        <f aca="false">$D18+(Scenarios!$C$5-$D18)*J7</f>
        <v>0.35</v>
      </c>
      <c r="K18" s="24" t="n">
        <f aca="false">$D18+(Scenarios!$C$5-$D18)*K7</f>
        <v>0.35</v>
      </c>
      <c r="L18" s="24" t="n">
        <f aca="false">$D18+(Scenarios!$C$5-$D18)*L7</f>
        <v>0.35</v>
      </c>
      <c r="M18" s="24" t="n">
        <f aca="false">$D18+(Scenarios!$C$5-$D18)*M7</f>
        <v>0.35</v>
      </c>
    </row>
    <row r="19" customFormat="false" ht="15" hidden="false" customHeight="false" outlineLevel="0" collapsed="false">
      <c r="A19" s="5" t="s">
        <v>78</v>
      </c>
      <c r="B19" s="4"/>
      <c r="C19" s="17" t="n">
        <v>520</v>
      </c>
      <c r="D19" s="18" t="n">
        <f aca="false">D11*D18</f>
        <v>580</v>
      </c>
      <c r="E19" s="18" t="n">
        <f aca="false">E11*E18</f>
        <v>638.1</v>
      </c>
      <c r="F19" s="18" t="n">
        <f aca="false">F11*F18</f>
        <v>701.784</v>
      </c>
      <c r="G19" s="18" t="n">
        <f aca="false">G11*G18</f>
        <v>771.5736</v>
      </c>
      <c r="H19" s="18" t="n">
        <f aca="false">H11*H18</f>
        <v>826.22673</v>
      </c>
      <c r="I19" s="18" t="n">
        <f aca="false">I11*I18</f>
        <v>877.17737835</v>
      </c>
      <c r="J19" s="18" t="n">
        <f aca="false">J11*J18</f>
        <v>923.229190713375</v>
      </c>
      <c r="K19" s="18" t="n">
        <f aca="false">K11*K18</f>
        <v>963.235788977622</v>
      </c>
      <c r="L19" s="18" t="n">
        <f aca="false">L11*L18</f>
        <v>996.146345101024</v>
      </c>
      <c r="M19" s="18" t="n">
        <f aca="false">M11*M18</f>
        <v>1021.05000372855</v>
      </c>
    </row>
    <row r="20" customFormat="false" ht="15" hidden="false" customHeight="false" outlineLevel="0" collapsed="false">
      <c r="A20" s="5" t="s">
        <v>232</v>
      </c>
      <c r="B20" s="4" t="s">
        <v>231</v>
      </c>
      <c r="C20" s="24" t="n">
        <f aca="false">C21/C13</f>
        <v>0.0797138477261114</v>
      </c>
      <c r="D20" s="24" t="n">
        <f aca="false">Inputs!$B$23/Inputs!$B$22</f>
        <v>0.0857142857142857</v>
      </c>
      <c r="E20" s="24" t="n">
        <f aca="false">$D20+(Scenarios!$C$7-$D20)*E7</f>
        <v>0.0938095238095238</v>
      </c>
      <c r="F20" s="24" t="n">
        <f aca="false">$D20+(Scenarios!$C$7-$D20)*F7</f>
        <v>0.101904761904762</v>
      </c>
      <c r="G20" s="24" t="n">
        <f aca="false">$D20+(Scenarios!$C$7-$D20)*G7</f>
        <v>0.11</v>
      </c>
      <c r="H20" s="24" t="n">
        <f aca="false">$D20+(Scenarios!$C$7-$D20)*H7</f>
        <v>0.11</v>
      </c>
      <c r="I20" s="24" t="n">
        <f aca="false">$D20+(Scenarios!$C$7-$D20)*I7</f>
        <v>0.11</v>
      </c>
      <c r="J20" s="24" t="n">
        <f aca="false">$D20+(Scenarios!$C$7-$D20)*J7</f>
        <v>0.11</v>
      </c>
      <c r="K20" s="24" t="n">
        <f aca="false">$D20+(Scenarios!$C$7-$D20)*K7</f>
        <v>0.11</v>
      </c>
      <c r="L20" s="24" t="n">
        <f aca="false">$D20+(Scenarios!$C$7-$D20)*L7</f>
        <v>0.11</v>
      </c>
      <c r="M20" s="24" t="n">
        <f aca="false">$D20+(Scenarios!$C$7-$D20)*M7</f>
        <v>0.11</v>
      </c>
    </row>
    <row r="21" customFormat="false" ht="15" hidden="false" customHeight="false" outlineLevel="0" collapsed="false">
      <c r="A21" s="5" t="s">
        <v>82</v>
      </c>
      <c r="B21" s="4"/>
      <c r="C21" s="17" t="n">
        <v>156</v>
      </c>
      <c r="D21" s="18" t="n">
        <f aca="false">D13*D20</f>
        <v>180</v>
      </c>
      <c r="E21" s="18" t="n">
        <f aca="false">E13*E20</f>
        <v>206.85</v>
      </c>
      <c r="F21" s="18" t="n">
        <f aca="false">F13*F20</f>
        <v>235.935</v>
      </c>
      <c r="G21" s="18" t="n">
        <f aca="false">G13*G20</f>
        <v>267.411375</v>
      </c>
      <c r="H21" s="18" t="n">
        <f aca="false">H13*H20</f>
        <v>279.6677296875</v>
      </c>
      <c r="I21" s="18" t="n">
        <f aca="false">I13*I20</f>
        <v>291.320551757813</v>
      </c>
      <c r="J21" s="18" t="n">
        <f aca="false">J13*J20</f>
        <v>302.245072448731</v>
      </c>
      <c r="K21" s="18" t="n">
        <f aca="false">K13*K20</f>
        <v>312.319908197022</v>
      </c>
      <c r="L21" s="18" t="n">
        <f aca="false">L13*L20</f>
        <v>321.429238852768</v>
      </c>
      <c r="M21" s="18" t="n">
        <f aca="false">M13*M20</f>
        <v>329.464969824087</v>
      </c>
    </row>
    <row r="22" customFormat="false" ht="15" hidden="false" customHeight="false" outlineLevel="0" collapsed="false">
      <c r="A22" s="5" t="s">
        <v>233</v>
      </c>
      <c r="B22" s="4" t="s">
        <v>227</v>
      </c>
      <c r="C22" s="18" t="n">
        <v>0</v>
      </c>
      <c r="D22" s="9" t="n">
        <f aca="false">-Inputs!$B$39</f>
        <v>-39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</row>
    <row r="23" customFormat="false" ht="15" hidden="false" customHeight="false" outlineLevel="0" collapsed="false">
      <c r="A23" s="5" t="s">
        <v>234</v>
      </c>
      <c r="B23" s="4" t="s">
        <v>235</v>
      </c>
      <c r="C23" s="17" t="n">
        <v>-29</v>
      </c>
      <c r="D23" s="9" t="n">
        <f aca="false">-Inputs!$B$27</f>
        <v>-35</v>
      </c>
      <c r="E23" s="18" t="n">
        <f aca="false">D23*(1+Inputs!$B$52)</f>
        <v>-36.05</v>
      </c>
      <c r="F23" s="18" t="n">
        <f aca="false">E23*(1+Inputs!$B$52)</f>
        <v>-37.1315</v>
      </c>
      <c r="G23" s="18" t="n">
        <f aca="false">F23*(1+Inputs!$B$52)</f>
        <v>-38.245445</v>
      </c>
      <c r="H23" s="18" t="n">
        <f aca="false">G23*(1+Inputs!$B$52)</f>
        <v>-39.39280835</v>
      </c>
      <c r="I23" s="18" t="n">
        <f aca="false">H23*(1+Inputs!$B$52)</f>
        <v>-40.5745926005</v>
      </c>
      <c r="J23" s="18" t="n">
        <f aca="false">I23*(1+Inputs!$B$52)</f>
        <v>-41.791830378515</v>
      </c>
      <c r="K23" s="18" t="n">
        <f aca="false">J23*(1+Inputs!$B$52)</f>
        <v>-43.0455852898705</v>
      </c>
      <c r="L23" s="18" t="n">
        <f aca="false">K23*(1+Inputs!$B$52)</f>
        <v>-44.3369528485666</v>
      </c>
      <c r="M23" s="18" t="n">
        <f aca="false">L23*(1+Inputs!$B$52)</f>
        <v>-45.6670614340236</v>
      </c>
    </row>
    <row r="24" customFormat="false" ht="15" hidden="false" customHeight="false" outlineLevel="0" collapsed="false">
      <c r="A24" s="3" t="s">
        <v>84</v>
      </c>
      <c r="B24" s="4"/>
      <c r="C24" s="35" t="n">
        <f aca="false">C19+C21+C22+C23</f>
        <v>647</v>
      </c>
      <c r="D24" s="35" t="n">
        <f aca="false">D19+D21+D22+D23</f>
        <v>686</v>
      </c>
      <c r="E24" s="35" t="n">
        <f aca="false">E19+E21+E22+E23</f>
        <v>808.9</v>
      </c>
      <c r="F24" s="35" t="n">
        <f aca="false">F19+F21+F22+F23</f>
        <v>900.5875</v>
      </c>
      <c r="G24" s="35" t="n">
        <f aca="false">G19+G21+G22+G23</f>
        <v>1000.73953</v>
      </c>
      <c r="H24" s="35" t="n">
        <f aca="false">H19+H21+H22+H23</f>
        <v>1066.5016513375</v>
      </c>
      <c r="I24" s="35" t="n">
        <f aca="false">I19+I21+I22+I23</f>
        <v>1127.92333750731</v>
      </c>
      <c r="J24" s="35" t="n">
        <f aca="false">J19+J21+J22+J23</f>
        <v>1183.68243278359</v>
      </c>
      <c r="K24" s="35" t="n">
        <f aca="false">K19+K21+K22+K23</f>
        <v>1232.51011188477</v>
      </c>
      <c r="L24" s="35" t="n">
        <f aca="false">L19+L21+L22+L23</f>
        <v>1273.23863110523</v>
      </c>
      <c r="M24" s="35" t="n">
        <f aca="false">M19+M21+M22+M23</f>
        <v>1304.84791211861</v>
      </c>
    </row>
    <row r="25" customFormat="false" ht="15" hidden="false" customHeight="false" outlineLevel="0" collapsed="false">
      <c r="A25" s="5" t="s">
        <v>236</v>
      </c>
      <c r="B25" s="4"/>
      <c r="C25" s="24" t="n">
        <f aca="false">C24/C15</f>
        <v>0.180273056561716</v>
      </c>
      <c r="D25" s="24" t="n">
        <f aca="false">D24/D15</f>
        <v>0.180336487907466</v>
      </c>
      <c r="E25" s="24" t="n">
        <f aca="false">E24/E15</f>
        <v>0.197533577533578</v>
      </c>
      <c r="F25" s="24" t="n">
        <f aca="false">F24/F15</f>
        <v>0.206725085792331</v>
      </c>
      <c r="G25" s="24" t="n">
        <f aca="false">G24/G15</f>
        <v>0.215885599174287</v>
      </c>
      <c r="H25" s="24" t="n">
        <f aca="false">H24/H15</f>
        <v>0.217516597771157</v>
      </c>
      <c r="I25" s="24" t="n">
        <f aca="false">I24/I15</f>
        <v>0.218819226331644</v>
      </c>
      <c r="J25" s="24" t="n">
        <f aca="false">J24/J15</f>
        <v>0.21979143857463</v>
      </c>
      <c r="K25" s="24" t="n">
        <f aca="false">K24/K15</f>
        <v>0.220430627516362</v>
      </c>
      <c r="L25" s="24" t="n">
        <f aca="false">L24/L15</f>
        <v>0.220733506147635</v>
      </c>
      <c r="M25" s="24" t="n">
        <f aca="false">M24/M15</f>
        <v>0.220696011399932</v>
      </c>
    </row>
    <row r="27" customFormat="false" ht="15" hidden="false" customHeight="false" outlineLevel="0" collapsed="false">
      <c r="A27" s="5" t="s">
        <v>123</v>
      </c>
      <c r="B27" s="4"/>
      <c r="C27" s="17" t="n">
        <v>138</v>
      </c>
      <c r="D27" s="18" t="n">
        <f aca="false">Inputs!$B$48*D15</f>
        <v>144.552</v>
      </c>
      <c r="E27" s="18" t="n">
        <f aca="false">Inputs!$B$48*E15</f>
        <v>155.61</v>
      </c>
      <c r="F27" s="18" t="n">
        <f aca="false">Inputs!$B$48*F15</f>
        <v>165.5451</v>
      </c>
      <c r="G27" s="18" t="n">
        <f aca="false">Inputs!$B$48*G15</f>
        <v>176.149323</v>
      </c>
      <c r="H27" s="18" t="n">
        <f aca="false">Inputs!$B$48*H15</f>
        <v>186.3171048375</v>
      </c>
      <c r="I27" s="18" t="n">
        <f aca="false">Inputs!$B$48*I15</f>
        <v>195.874409867063</v>
      </c>
      <c r="J27" s="18" t="n">
        <f aca="false">Inputs!$B$48*J15</f>
        <v>204.648246253247</v>
      </c>
      <c r="K27" s="18" t="n">
        <f aca="false">Inputs!$B$48*K15</f>
        <v>212.472217583035</v>
      </c>
      <c r="L27" s="18" t="n">
        <f aca="false">Inputs!$B$48*L15</f>
        <v>219.192223357509</v>
      </c>
      <c r="M27" s="18" t="n">
        <f aca="false">Inputs!$B$48*M15</f>
        <v>224.672028941447</v>
      </c>
    </row>
    <row r="28" customFormat="false" ht="15" hidden="false" customHeight="false" outlineLevel="0" collapsed="false">
      <c r="A28" s="3" t="s">
        <v>237</v>
      </c>
      <c r="B28" s="4"/>
      <c r="C28" s="35" t="n">
        <f aca="false">C24+C27</f>
        <v>785</v>
      </c>
      <c r="D28" s="35" t="n">
        <f aca="false">D24+D27</f>
        <v>830.552</v>
      </c>
      <c r="E28" s="35" t="n">
        <f aca="false">E24+E27</f>
        <v>964.51</v>
      </c>
      <c r="F28" s="35" t="n">
        <f aca="false">F24+F27</f>
        <v>1066.1326</v>
      </c>
      <c r="G28" s="35" t="n">
        <f aca="false">G24+G27</f>
        <v>1176.888853</v>
      </c>
      <c r="H28" s="35" t="n">
        <f aca="false">H24+H27</f>
        <v>1252.818756175</v>
      </c>
      <c r="I28" s="35" t="n">
        <f aca="false">I24+I27</f>
        <v>1323.79774737438</v>
      </c>
      <c r="J28" s="35" t="n">
        <f aca="false">J24+J27</f>
        <v>1388.33067903684</v>
      </c>
      <c r="K28" s="35" t="n">
        <f aca="false">K24+K27</f>
        <v>1444.98232946781</v>
      </c>
      <c r="L28" s="35" t="n">
        <f aca="false">L24+L27</f>
        <v>1492.43085446273</v>
      </c>
      <c r="M28" s="35" t="n">
        <f aca="false">M24+M27</f>
        <v>1529.51994106006</v>
      </c>
    </row>
    <row r="29" customFormat="false" ht="15" hidden="false" customHeight="false" outlineLevel="0" collapsed="false">
      <c r="A29" s="5" t="s">
        <v>128</v>
      </c>
      <c r="B29" s="4"/>
      <c r="C29" s="17" t="n">
        <v>-31</v>
      </c>
      <c r="D29" s="18" t="n">
        <f aca="false">-Inputs!$B$50*D15</f>
        <v>-34.236</v>
      </c>
      <c r="E29" s="18" t="n">
        <f aca="false">-Inputs!$B$50*E15</f>
        <v>-36.855</v>
      </c>
      <c r="F29" s="18" t="n">
        <f aca="false">-Inputs!$B$50*F15</f>
        <v>-39.20805</v>
      </c>
      <c r="G29" s="18" t="n">
        <f aca="false">-Inputs!$B$50*G15</f>
        <v>-41.7195765</v>
      </c>
      <c r="H29" s="18" t="n">
        <f aca="false">-Inputs!$B$50*H15</f>
        <v>-44.12773535625</v>
      </c>
      <c r="I29" s="18" t="n">
        <f aca="false">-Inputs!$B$50*I15</f>
        <v>-46.3913076000938</v>
      </c>
      <c r="J29" s="18" t="n">
        <f aca="false">-Inputs!$B$50*J15</f>
        <v>-48.4693214810323</v>
      </c>
      <c r="K29" s="18" t="n">
        <f aca="false">-Inputs!$B$50*K15</f>
        <v>-50.3223673222978</v>
      </c>
      <c r="L29" s="18" t="n">
        <f aca="false">-Inputs!$B$50*L15</f>
        <v>-51.9139476373047</v>
      </c>
      <c r="M29" s="18" t="n">
        <f aca="false">-Inputs!$B$50*M15</f>
        <v>-53.2117963282374</v>
      </c>
    </row>
    <row r="30" customFormat="false" ht="15" hidden="false" customHeight="false" outlineLevel="0" collapsed="false">
      <c r="A30" s="5" t="s">
        <v>126</v>
      </c>
      <c r="B30" s="4"/>
      <c r="C30" s="17" t="n">
        <v>-94</v>
      </c>
      <c r="D30" s="18" t="n">
        <f aca="false">-Inputs!$B$49*D15</f>
        <v>-114.12</v>
      </c>
      <c r="E30" s="18" t="n">
        <f aca="false">-Inputs!$B$49*E15</f>
        <v>-122.85</v>
      </c>
      <c r="F30" s="18" t="n">
        <f aca="false">-Inputs!$B$49*F15</f>
        <v>-130.6935</v>
      </c>
      <c r="G30" s="18" t="n">
        <f aca="false">-Inputs!$B$49*G15</f>
        <v>-139.065255</v>
      </c>
      <c r="H30" s="18" t="n">
        <f aca="false">-Inputs!$B$49*H15</f>
        <v>-147.0924511875</v>
      </c>
      <c r="I30" s="18" t="n">
        <f aca="false">-Inputs!$B$49*I15</f>
        <v>-154.637692000313</v>
      </c>
      <c r="J30" s="18" t="n">
        <f aca="false">-Inputs!$B$49*J15</f>
        <v>-161.564404936774</v>
      </c>
      <c r="K30" s="18" t="n">
        <f aca="false">-Inputs!$B$49*K15</f>
        <v>-167.741224407659</v>
      </c>
      <c r="L30" s="18" t="n">
        <f aca="false">-Inputs!$B$49*L15</f>
        <v>-173.046492124349</v>
      </c>
      <c r="M30" s="18" t="n">
        <f aca="false">-Inputs!$B$49*M15</f>
        <v>-177.372654427458</v>
      </c>
    </row>
    <row r="31" customFormat="false" ht="15" hidden="false" customHeight="false" outlineLevel="0" collapsed="false">
      <c r="A31" s="5" t="s">
        <v>238</v>
      </c>
      <c r="B31" s="4" t="s">
        <v>239</v>
      </c>
      <c r="C31" s="17" t="n">
        <v>33</v>
      </c>
      <c r="D31" s="18" t="n">
        <f aca="false">-Inputs!$B$51*(D15-C15)</f>
        <v>-21.5</v>
      </c>
      <c r="E31" s="18" t="n">
        <f aca="false">-Inputs!$B$51*(E15-D15)</f>
        <v>-29.1</v>
      </c>
      <c r="F31" s="18" t="n">
        <f aca="false">-Inputs!$B$51*(F15-E15)</f>
        <v>-26.1450000000001</v>
      </c>
      <c r="G31" s="18" t="n">
        <f aca="false">-Inputs!$B$51*(G15-F15)</f>
        <v>-27.90585</v>
      </c>
      <c r="H31" s="18" t="n">
        <f aca="false">-Inputs!$B$51*(H15-G15)</f>
        <v>-26.757320625</v>
      </c>
      <c r="I31" s="18" t="n">
        <f aca="false">-Inputs!$B$51*(I15-H15)</f>
        <v>-25.1508027093751</v>
      </c>
      <c r="J31" s="18" t="n">
        <f aca="false">-Inputs!$B$51*(J15-I15)</f>
        <v>-23.0890431215391</v>
      </c>
      <c r="K31" s="18" t="n">
        <f aca="false">-Inputs!$B$51*(K15-J15)</f>
        <v>-20.5893982362831</v>
      </c>
      <c r="L31" s="18" t="n">
        <f aca="false">-Inputs!$B$51*(L15-K15)</f>
        <v>-17.6842257222999</v>
      </c>
      <c r="M31" s="18" t="n">
        <f aca="false">-Inputs!$B$51*(M15-L15)</f>
        <v>-14.4205410103623</v>
      </c>
    </row>
    <row r="32" customFormat="false" ht="15" hidden="false" customHeight="false" outlineLevel="0" collapsed="false">
      <c r="A32" s="5" t="s">
        <v>240</v>
      </c>
      <c r="B32" s="4" t="s">
        <v>241</v>
      </c>
      <c r="C32" s="24" t="n">
        <f aca="false">-C33/C11</f>
        <v>0.198529411764706</v>
      </c>
      <c r="D32" s="24" t="n">
        <f aca="false">Inputs!$B$25/Inputs!$B$20</f>
        <v>0.205714285714286</v>
      </c>
      <c r="E32" s="24" t="n">
        <f aca="false">$D32+(Scenarios!$C$8-$D32)*E7</f>
        <v>0.173809523809524</v>
      </c>
      <c r="F32" s="24" t="n">
        <f aca="false">$D32+(Scenarios!$C$8-$D32)*F7</f>
        <v>0.141904761904762</v>
      </c>
      <c r="G32" s="24" t="n">
        <f aca="false">$D32+(Scenarios!$C$8-$D32)*G7</f>
        <v>0.11</v>
      </c>
      <c r="H32" s="24" t="n">
        <f aca="false">$G$32+(Scenarios!$C$9-$G$32)*H6/6</f>
        <v>0.1</v>
      </c>
      <c r="I32" s="24" t="n">
        <f aca="false">$G$32+(Scenarios!$C$9-$G$32)*I6/6</f>
        <v>0.09</v>
      </c>
      <c r="J32" s="24" t="n">
        <f aca="false">$G$32+(Scenarios!$C$9-$G$32)*J6/6</f>
        <v>0.08</v>
      </c>
      <c r="K32" s="24" t="n">
        <f aca="false">$G$32+(Scenarios!$C$9-$G$32)*K6/6</f>
        <v>0.07</v>
      </c>
      <c r="L32" s="24" t="n">
        <f aca="false">$G$32+(Scenarios!$C$9-$G$32)*L6/6</f>
        <v>0.06</v>
      </c>
      <c r="M32" s="24" t="n">
        <f aca="false">$G$32+(Scenarios!$C$9-$G$32)*M6/6</f>
        <v>0.05</v>
      </c>
    </row>
    <row r="33" customFormat="false" ht="15" hidden="false" customHeight="false" outlineLevel="0" collapsed="false">
      <c r="A33" s="5" t="s">
        <v>242</v>
      </c>
      <c r="B33" s="4" t="s">
        <v>243</v>
      </c>
      <c r="C33" s="17" t="n">
        <v>-324</v>
      </c>
      <c r="D33" s="18" t="n">
        <f aca="false">-D32*D11</f>
        <v>-360</v>
      </c>
      <c r="E33" s="18" t="n">
        <f aca="false">-E32*E11</f>
        <v>-328.5</v>
      </c>
      <c r="F33" s="18" t="n">
        <f aca="false">-F32*F11</f>
        <v>-289.656</v>
      </c>
      <c r="G33" s="18" t="n">
        <f aca="false">-G32*G11</f>
        <v>-242.49456</v>
      </c>
      <c r="H33" s="18" t="n">
        <f aca="false">-H32*H11</f>
        <v>-236.06478</v>
      </c>
      <c r="I33" s="18" t="n">
        <f aca="false">-I32*I11</f>
        <v>-225.55989729</v>
      </c>
      <c r="J33" s="18" t="n">
        <f aca="false">-J32*J11</f>
        <v>-211.0238150202</v>
      </c>
      <c r="K33" s="18" t="n">
        <f aca="false">-K32*K11</f>
        <v>-192.647157795524</v>
      </c>
      <c r="L33" s="18" t="n">
        <f aca="false">-L32*L11</f>
        <v>-170.767944874461</v>
      </c>
      <c r="M33" s="18" t="n">
        <f aca="false">-M32*M11</f>
        <v>-145.864286246936</v>
      </c>
    </row>
    <row r="34" customFormat="false" ht="15" hidden="false" customHeight="false" outlineLevel="0" collapsed="false">
      <c r="A34" s="5" t="s">
        <v>244</v>
      </c>
      <c r="B34" s="4"/>
      <c r="C34" s="17" t="n">
        <v>-68</v>
      </c>
      <c r="D34" s="9" t="n">
        <f aca="false">-Inputs!$B$56</f>
        <v>-50</v>
      </c>
      <c r="E34" s="9" t="n">
        <f aca="false">-Inputs!$B$57</f>
        <v>-30</v>
      </c>
      <c r="F34" s="9" t="n">
        <f aca="false">-Inputs!$B$58</f>
        <v>-15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</row>
    <row r="35" customFormat="false" ht="15" hidden="false" customHeight="false" outlineLevel="0" collapsed="false">
      <c r="A35" s="5" t="s">
        <v>245</v>
      </c>
      <c r="B35" s="4"/>
      <c r="C35" s="17" t="n">
        <v>-22</v>
      </c>
      <c r="D35" s="18" t="n">
        <f aca="false">-Inputs!$B$53</f>
        <v>-5</v>
      </c>
      <c r="E35" s="18" t="n">
        <f aca="false">-Inputs!$B$53</f>
        <v>-5</v>
      </c>
      <c r="F35" s="18" t="n">
        <f aca="false">-Inputs!$B$53</f>
        <v>-5</v>
      </c>
      <c r="G35" s="18" t="n">
        <f aca="false">-Inputs!$B$53</f>
        <v>-5</v>
      </c>
      <c r="H35" s="18" t="n">
        <f aca="false">-Inputs!$B$53</f>
        <v>-5</v>
      </c>
      <c r="I35" s="18" t="n">
        <f aca="false">-Inputs!$B$53</f>
        <v>-5</v>
      </c>
      <c r="J35" s="18" t="n">
        <f aca="false">-Inputs!$B$53</f>
        <v>-5</v>
      </c>
      <c r="K35" s="18" t="n">
        <f aca="false">-Inputs!$B$53</f>
        <v>-5</v>
      </c>
      <c r="L35" s="18" t="n">
        <f aca="false">-Inputs!$B$53</f>
        <v>-5</v>
      </c>
      <c r="M35" s="18" t="n">
        <f aca="false">-Inputs!$B$53</f>
        <v>-5</v>
      </c>
    </row>
    <row r="36" customFormat="false" ht="15" hidden="false" customHeight="false" outlineLevel="0" collapsed="false">
      <c r="A36" s="5" t="s">
        <v>246</v>
      </c>
      <c r="B36" s="4" t="s">
        <v>247</v>
      </c>
      <c r="C36" s="17" t="n">
        <v>-27</v>
      </c>
      <c r="D36" s="9" t="n">
        <f aca="false">-Inputs!$B$59</f>
        <v>-25</v>
      </c>
      <c r="E36" s="9" t="n">
        <f aca="false">-Inputs!$B$60</f>
        <v>-15</v>
      </c>
      <c r="F36" s="9" t="n">
        <f aca="false">-Inputs!$B$61</f>
        <v>-5</v>
      </c>
      <c r="G36" s="18" t="n">
        <v>0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0</v>
      </c>
      <c r="M36" s="18" t="n">
        <v>0</v>
      </c>
    </row>
    <row r="37" customFormat="false" ht="15" hidden="false" customHeight="false" outlineLevel="0" collapsed="false">
      <c r="A37" s="3" t="s">
        <v>248</v>
      </c>
      <c r="B37" s="4" t="s">
        <v>249</v>
      </c>
      <c r="C37" s="35" t="n">
        <f aca="false">C24+C27+C29+C30+C31+C33+C34+C35+C36</f>
        <v>252</v>
      </c>
      <c r="D37" s="35" t="n">
        <f aca="false">D24+D27+D29+D30+D31+D33+D34+D35+D36</f>
        <v>220.696</v>
      </c>
      <c r="E37" s="35" t="n">
        <f aca="false">E24+E27+E29+E30+E31+E33+E34+E35+E36</f>
        <v>397.205</v>
      </c>
      <c r="F37" s="35" t="n">
        <f aca="false">F24+F27+F29+F30+F31+F33+F34+F35+F36</f>
        <v>555.43005</v>
      </c>
      <c r="G37" s="35" t="n">
        <f aca="false">G24+G27+G29+G30+G31+G33+G34+G35+G36</f>
        <v>720.7036115</v>
      </c>
      <c r="H37" s="35" t="n">
        <f aca="false">H24+H27+H29+H30+H31+H33+H34+H35+H36</f>
        <v>793.77646900625</v>
      </c>
      <c r="I37" s="35" t="n">
        <f aca="false">I24+I27+I29+I30+I31+I33+I34+I35+I36</f>
        <v>867.058047774594</v>
      </c>
      <c r="J37" s="35" t="n">
        <f aca="false">J24+J27+J29+J30+J31+J33+J34+J35+J36</f>
        <v>939.184094477293</v>
      </c>
      <c r="K37" s="35" t="n">
        <f aca="false">K24+K27+K29+K30+K31+K33+K34+K35+K36</f>
        <v>1008.68218170604</v>
      </c>
      <c r="L37" s="35" t="n">
        <f aca="false">L24+L27+L29+L30+L31+L33+L34+L35+L36</f>
        <v>1074.01824410432</v>
      </c>
      <c r="M37" s="35" t="n">
        <f aca="false">M24+M27+M29+M30+M31+M33+M34+M35+M36</f>
        <v>1133.65066304707</v>
      </c>
    </row>
    <row r="38" customFormat="false" ht="15" hidden="false" customHeight="false" outlineLevel="0" collapsed="false">
      <c r="A38" s="5" t="s">
        <v>250</v>
      </c>
      <c r="B38" s="4" t="s">
        <v>251</v>
      </c>
      <c r="C38" s="18"/>
      <c r="D38" s="18" t="n">
        <f aca="false">-Inputs!$B$55*MAX(0,D24+D33)</f>
        <v>-66.504</v>
      </c>
      <c r="E38" s="18" t="n">
        <f aca="false">-Inputs!$B$55*MAX(0,E24+E33)</f>
        <v>-98.0016</v>
      </c>
      <c r="F38" s="18" t="n">
        <f aca="false">-Inputs!$B$55*MAX(0,F24+F33)</f>
        <v>-124.630026</v>
      </c>
      <c r="G38" s="18" t="n">
        <f aca="false">-Inputs!$B$55*MAX(0,G24+G33)</f>
        <v>-154.68197388</v>
      </c>
      <c r="H38" s="18" t="n">
        <f aca="false">-Inputs!$B$55*MAX(0,H24+H33)</f>
        <v>-169.40912175285</v>
      </c>
      <c r="I38" s="18" t="n">
        <f aca="false">-Inputs!$B$55*MAX(0,I24+I33)</f>
        <v>-184.082141804332</v>
      </c>
      <c r="J38" s="18" t="n">
        <f aca="false">-Inputs!$B$55*MAX(0,J24+J33)</f>
        <v>-198.422358023732</v>
      </c>
      <c r="K38" s="18" t="n">
        <f aca="false">-Inputs!$B$55*MAX(0,K24+K33)</f>
        <v>-212.132042634207</v>
      </c>
      <c r="L38" s="18" t="n">
        <f aca="false">-Inputs!$B$55*MAX(0,L24+L33)</f>
        <v>-224.904019991076</v>
      </c>
      <c r="M38" s="18" t="n">
        <f aca="false">-Inputs!$B$55*MAX(0,M24+M33)</f>
        <v>-236.432659677822</v>
      </c>
    </row>
    <row r="39" customFormat="false" ht="15" hidden="false" customHeight="false" outlineLevel="0" collapsed="false">
      <c r="A39" s="3" t="s">
        <v>252</v>
      </c>
      <c r="B39" s="4"/>
      <c r="C39" s="35"/>
      <c r="D39" s="35" t="n">
        <f aca="false">D37+D38</f>
        <v>154.192</v>
      </c>
      <c r="E39" s="35" t="n">
        <f aca="false">E37+E38</f>
        <v>299.2034</v>
      </c>
      <c r="F39" s="35" t="n">
        <f aca="false">F37+F38</f>
        <v>430.800024</v>
      </c>
      <c r="G39" s="35" t="n">
        <f aca="false">G37+G38</f>
        <v>566.02163762</v>
      </c>
      <c r="H39" s="35" t="n">
        <f aca="false">H37+H38</f>
        <v>624.3673472534</v>
      </c>
      <c r="I39" s="35" t="n">
        <f aca="false">I37+I38</f>
        <v>682.975905970262</v>
      </c>
      <c r="J39" s="35" t="n">
        <f aca="false">J37+J38</f>
        <v>740.761736453561</v>
      </c>
      <c r="K39" s="35" t="n">
        <f aca="false">K37+K38</f>
        <v>796.550139071837</v>
      </c>
      <c r="L39" s="35" t="n">
        <f aca="false">L37+L38</f>
        <v>849.114224113243</v>
      </c>
      <c r="M39" s="35" t="n">
        <f aca="false">M37+M38</f>
        <v>897.218003369245</v>
      </c>
    </row>
    <row r="40" customFormat="false" ht="15" hidden="false" customHeight="false" outlineLevel="0" collapsed="false">
      <c r="A40" s="5" t="s">
        <v>253</v>
      </c>
      <c r="B40" s="4"/>
      <c r="C40" s="18"/>
      <c r="D40" s="18" t="n">
        <f aca="false">-Inputs!$B$46</f>
        <v>-75.236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</row>
    <row r="41" customFormat="false" ht="15" hidden="false" customHeight="false" outlineLevel="0" collapsed="false">
      <c r="A41" s="3" t="s">
        <v>254</v>
      </c>
      <c r="B41" s="4"/>
      <c r="C41" s="35"/>
      <c r="D41" s="35" t="n">
        <f aca="false">D39+D40</f>
        <v>78.956</v>
      </c>
      <c r="E41" s="35" t="n">
        <f aca="false">E39+E40</f>
        <v>299.2034</v>
      </c>
      <c r="F41" s="35" t="n">
        <f aca="false">F39+F40</f>
        <v>430.800024</v>
      </c>
      <c r="G41" s="35" t="n">
        <f aca="false">G39+G40</f>
        <v>566.02163762</v>
      </c>
      <c r="H41" s="35" t="n">
        <f aca="false">H39+H40</f>
        <v>624.3673472534</v>
      </c>
      <c r="I41" s="35" t="n">
        <f aca="false">I39+I40</f>
        <v>682.975905970262</v>
      </c>
      <c r="J41" s="35" t="n">
        <f aca="false">J39+J40</f>
        <v>740.761736453561</v>
      </c>
      <c r="K41" s="35" t="n">
        <f aca="false">K39+K40</f>
        <v>796.550139071837</v>
      </c>
      <c r="L41" s="35" t="n">
        <f aca="false">L39+L40</f>
        <v>849.114224113243</v>
      </c>
      <c r="M41" s="35" t="n">
        <f aca="false">M39+M40</f>
        <v>897.218003369245</v>
      </c>
    </row>
    <row r="42" customFormat="false" ht="15" hidden="false" customHeight="false" outlineLevel="0" collapsed="false">
      <c r="A42" s="5" t="s">
        <v>255</v>
      </c>
      <c r="B42" s="4"/>
      <c r="C42" s="21"/>
      <c r="D42" s="21" t="n">
        <f aca="false">1/(1+Inputs!$B$71)^D8</f>
        <v>0.977889412420043</v>
      </c>
      <c r="E42" s="21" t="n">
        <f aca="false">1/(1+Inputs!$B$71)^E8</f>
        <v>0.914447919654046</v>
      </c>
      <c r="F42" s="21" t="n">
        <f aca="false">1/(1+Inputs!$B$71)^F8</f>
        <v>0.836214997759612</v>
      </c>
      <c r="G42" s="21" t="n">
        <f aca="false">1/(1+Inputs!$B$71)^G8</f>
        <v>0.76467506508479</v>
      </c>
      <c r="H42" s="21" t="n">
        <f aca="false">1/(1+Inputs!$B$71)^H8</f>
        <v>0.699255522478108</v>
      </c>
      <c r="I42" s="21" t="n">
        <f aca="false">1/(1+Inputs!$B$71)^I8</f>
        <v>0.639432757836709</v>
      </c>
      <c r="J42" s="21" t="n">
        <f aca="false">1/(1+Inputs!$B$71)^J8</f>
        <v>0.584727955162428</v>
      </c>
      <c r="K42" s="21" t="n">
        <f aca="false">1/(1+Inputs!$B$71)^K8</f>
        <v>0.534703262161847</v>
      </c>
      <c r="L42" s="21" t="n">
        <f aca="false">1/(1+Inputs!$B$71)^L8</f>
        <v>0.488958285716132</v>
      </c>
      <c r="M42" s="21" t="n">
        <f aca="false">1/(1+Inputs!$B$71)^M8</f>
        <v>0.447126887170726</v>
      </c>
    </row>
    <row r="43" customFormat="false" ht="15" hidden="false" customHeight="false" outlineLevel="0" collapsed="false">
      <c r="A43" s="5" t="s">
        <v>256</v>
      </c>
      <c r="B43" s="4"/>
      <c r="C43" s="18"/>
      <c r="D43" s="18" t="n">
        <f aca="false">D41*D42</f>
        <v>77.210236447037</v>
      </c>
      <c r="E43" s="18" t="n">
        <f aca="false">E41*E42</f>
        <v>273.605926683417</v>
      </c>
      <c r="F43" s="18" t="n">
        <f aca="false">F41*F42</f>
        <v>360.241441104001</v>
      </c>
      <c r="G43" s="18" t="n">
        <f aca="false">G41*G42</f>
        <v>432.822632586473</v>
      </c>
      <c r="H43" s="18" t="n">
        <f aca="false">H41*H42</f>
        <v>436.592315621947</v>
      </c>
      <c r="I43" s="18" t="n">
        <f aca="false">I41*I42</f>
        <v>436.71716709059</v>
      </c>
      <c r="J43" s="18" t="n">
        <f aca="false">J41*J42</f>
        <v>433.14409541906</v>
      </c>
      <c r="K43" s="18" t="n">
        <f aca="false">K41*K42</f>
        <v>425.917957837183</v>
      </c>
      <c r="L43" s="18" t="n">
        <f aca="false">L41*L42</f>
        <v>415.181435399595</v>
      </c>
      <c r="M43" s="18" t="n">
        <f aca="false">M41*M42</f>
        <v>401.170292960024</v>
      </c>
    </row>
    <row r="45" customFormat="false" ht="15" hidden="false" customHeight="false" outlineLevel="0" collapsed="false">
      <c r="A45" s="14" t="s">
        <v>257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customFormat="false" ht="15" hidden="false" customHeight="false" outlineLevel="0" collapsed="false">
      <c r="A46" s="5" t="s">
        <v>14</v>
      </c>
      <c r="D46" s="11" t="n">
        <f aca="false">Inputs!$B$71</f>
        <v>0.0935559899117276</v>
      </c>
    </row>
    <row r="47" customFormat="false" ht="15" hidden="false" customHeight="false" outlineLevel="0" collapsed="false">
      <c r="A47" s="5" t="s">
        <v>170</v>
      </c>
      <c r="D47" s="11" t="n">
        <f aca="false">Inputs!$B$72</f>
        <v>0.025</v>
      </c>
    </row>
    <row r="48" customFormat="false" ht="15" hidden="false" customHeight="false" outlineLevel="0" collapsed="false">
      <c r="A48" s="5" t="s">
        <v>258</v>
      </c>
      <c r="B48" s="4" t="s">
        <v>259</v>
      </c>
      <c r="D48" s="18" t="n">
        <f aca="false">M39*(1+D47)</f>
        <v>919.648453453475</v>
      </c>
    </row>
    <row r="49" customFormat="false" ht="15" hidden="false" customHeight="false" outlineLevel="0" collapsed="false">
      <c r="A49" s="5" t="s">
        <v>260</v>
      </c>
      <c r="D49" s="18" t="n">
        <f aca="false">D48/(D46-D47)</f>
        <v>13414.5601957992</v>
      </c>
    </row>
    <row r="50" customFormat="false" ht="15" hidden="false" customHeight="false" outlineLevel="0" collapsed="false">
      <c r="A50" s="5" t="s">
        <v>261</v>
      </c>
      <c r="B50" s="4" t="s">
        <v>262</v>
      </c>
      <c r="D50" s="32" t="n">
        <f aca="false">M8+0.5</f>
        <v>9.5</v>
      </c>
    </row>
    <row r="51" customFormat="false" ht="15" hidden="false" customHeight="false" outlineLevel="0" collapsed="false">
      <c r="A51" s="5" t="s">
        <v>255</v>
      </c>
      <c r="D51" s="21" t="n">
        <f aca="false">1/(1+D46)^D50</f>
        <v>0.427573001309958</v>
      </c>
    </row>
    <row r="52" customFormat="false" ht="15" hidden="false" customHeight="false" outlineLevel="0" collapsed="false">
      <c r="A52" s="5" t="s">
        <v>263</v>
      </c>
      <c r="D52" s="18" t="n">
        <f aca="false">D49*D51</f>
        <v>5735.70376417098</v>
      </c>
    </row>
    <row r="53" customFormat="false" ht="15" hidden="false" customHeight="false" outlineLevel="0" collapsed="false">
      <c r="A53" s="5" t="s">
        <v>264</v>
      </c>
      <c r="D53" s="18" t="n">
        <f aca="false">SUM(D43:M43)</f>
        <v>3692.60350114933</v>
      </c>
    </row>
    <row r="56" customFormat="false" ht="15" hidden="false" customHeight="false" outlineLevel="0" collapsed="false">
      <c r="A56" s="3" t="s">
        <v>265</v>
      </c>
      <c r="D56" s="36" t="n">
        <f aca="false">D52+D53</f>
        <v>9428.30726532031</v>
      </c>
    </row>
    <row r="57" customFormat="false" ht="15" hidden="false" customHeight="false" outlineLevel="0" collapsed="false">
      <c r="A57" s="5" t="s">
        <v>266</v>
      </c>
      <c r="D57" s="9" t="n">
        <f aca="false">-Inputs!$B$8</f>
        <v>-1530</v>
      </c>
    </row>
    <row r="58" customFormat="false" ht="15" hidden="false" customHeight="false" outlineLevel="0" collapsed="false">
      <c r="A58" s="5" t="s">
        <v>267</v>
      </c>
      <c r="D58" s="9" t="n">
        <f aca="false">-Inputs!$B$10</f>
        <v>-11</v>
      </c>
    </row>
    <row r="59" customFormat="false" ht="15" hidden="false" customHeight="false" outlineLevel="0" collapsed="false">
      <c r="A59" s="5" t="s">
        <v>268</v>
      </c>
      <c r="B59" s="4" t="s">
        <v>269</v>
      </c>
      <c r="D59" s="9" t="n">
        <f aca="false">-Scenarios!$C$10</f>
        <v>-120</v>
      </c>
    </row>
    <row r="60" customFormat="false" ht="15" hidden="false" customHeight="false" outlineLevel="0" collapsed="false">
      <c r="A60" s="3" t="s">
        <v>270</v>
      </c>
      <c r="D60" s="36" t="n">
        <f aca="false">SUM(D56:D59)</f>
        <v>7767.30726532031</v>
      </c>
    </row>
    <row r="61" customFormat="false" ht="15" hidden="false" customHeight="false" outlineLevel="0" collapsed="false">
      <c r="A61" s="5" t="s">
        <v>271</v>
      </c>
      <c r="D61" s="9" t="n">
        <f aca="false">Inputs!$B$6</f>
        <v>1246</v>
      </c>
    </row>
    <row r="62" customFormat="false" ht="15" hidden="false" customHeight="false" outlineLevel="0" collapsed="false">
      <c r="A62" s="3" t="s">
        <v>193</v>
      </c>
      <c r="D62" s="28" t="n">
        <f aca="false">D60/D61*100</f>
        <v>623.379395290555</v>
      </c>
    </row>
    <row r="63" customFormat="false" ht="15" hidden="false" customHeight="false" outlineLevel="0" collapsed="false">
      <c r="A63" s="5" t="s">
        <v>194</v>
      </c>
      <c r="D63" s="8" t="n">
        <f aca="false">D62/Inputs!$B$5-1</f>
        <v>0.385287545090121</v>
      </c>
    </row>
    <row r="64" customFormat="false" ht="15" hidden="false" customHeight="false" outlineLevel="0" collapsed="false">
      <c r="A64" s="5" t="s">
        <v>272</v>
      </c>
      <c r="D64" s="24" t="n">
        <f aca="false">D52/D56</f>
        <v>0.608349261724673</v>
      </c>
    </row>
    <row r="65" customFormat="false" ht="15" hidden="false" customHeight="false" outlineLevel="0" collapsed="false">
      <c r="A65" s="5" t="s">
        <v>273</v>
      </c>
      <c r="D65" s="37" t="n">
        <f aca="false">D49/M28</f>
        <v>8.77043825038466</v>
      </c>
    </row>
    <row r="66" customFormat="false" ht="15" hidden="false" customHeight="false" outlineLevel="0" collapsed="false">
      <c r="A66" s="14" t="s">
        <v>274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5" t="s">
        <v>275</v>
      </c>
      <c r="B67" s="4" t="s">
        <v>276</v>
      </c>
      <c r="C67" s="18"/>
      <c r="D67" s="18" t="n">
        <f aca="false">D39-Inputs!$B$69*Inputs!$B$8</f>
        <v>74.0965</v>
      </c>
      <c r="E67" s="18" t="n">
        <f aca="false">E39-Inputs!$B$69*Inputs!$B$8</f>
        <v>219.1079</v>
      </c>
      <c r="F67" s="18" t="n">
        <f aca="false">F39-Inputs!$B$69*Inputs!$B$8</f>
        <v>350.704524</v>
      </c>
      <c r="G67" s="18" t="n">
        <f aca="false">G39-Inputs!$B$69*Inputs!$B$8</f>
        <v>485.92613762</v>
      </c>
      <c r="H67" s="18" t="n">
        <f aca="false">H39-Inputs!$B$69*Inputs!$B$8</f>
        <v>544.2718472534</v>
      </c>
      <c r="I67" s="18" t="n">
        <f aca="false">I39-Inputs!$B$69*Inputs!$B$8</f>
        <v>602.880405970262</v>
      </c>
      <c r="J67" s="18" t="n">
        <f aca="false">J39-Inputs!$B$69*Inputs!$B$8</f>
        <v>660.666236453561</v>
      </c>
      <c r="K67" s="18" t="n">
        <f aca="false">K39-Inputs!$B$69*Inputs!$B$8</f>
        <v>716.454639071837</v>
      </c>
      <c r="L67" s="18" t="n">
        <f aca="false">L39-Inputs!$B$69*Inputs!$B$8</f>
        <v>769.018724113243</v>
      </c>
      <c r="M67" s="18" t="n">
        <f aca="false">M39-Inputs!$B$69*Inputs!$B$8</f>
        <v>817.122503369244</v>
      </c>
    </row>
    <row r="68" customFormat="false" ht="15" hidden="false" customHeight="false" outlineLevel="0" collapsed="false">
      <c r="A68" s="5" t="s">
        <v>277</v>
      </c>
      <c r="B68" s="4"/>
      <c r="C68" s="18"/>
      <c r="D68" s="18"/>
      <c r="E68" s="18"/>
      <c r="F68" s="18"/>
      <c r="G68" s="9" t="n">
        <f aca="false">Inputs!$B$36</f>
        <v>549.6</v>
      </c>
      <c r="H68" s="18"/>
      <c r="I68" s="18"/>
      <c r="J68" s="18"/>
      <c r="K68" s="18"/>
      <c r="L68" s="18"/>
      <c r="M68" s="18"/>
    </row>
    <row r="69" customFormat="false" ht="15" hidden="false" customHeight="false" outlineLevel="0" collapsed="false">
      <c r="A69" s="5" t="s">
        <v>278</v>
      </c>
      <c r="B69" s="4"/>
      <c r="C69" s="24"/>
      <c r="D69" s="24"/>
      <c r="E69" s="24"/>
      <c r="F69" s="24"/>
      <c r="G69" s="24" t="n">
        <f aca="false">G67/G68</f>
        <v>0.884145083005823</v>
      </c>
      <c r="H69" s="24"/>
      <c r="I69" s="24"/>
      <c r="J69" s="24"/>
      <c r="K69" s="24"/>
      <c r="L69" s="24"/>
      <c r="M69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13" min="3" style="0" width="9.51"/>
  </cols>
  <sheetData>
    <row r="1" customFormat="false" ht="17.35" hidden="false" customHeight="false" outlineLevel="0" collapsed="false">
      <c r="A1" s="1" t="s">
        <v>279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12" t="s">
        <v>201</v>
      </c>
      <c r="B4" s="13" t="s">
        <v>202</v>
      </c>
      <c r="C4" s="13" t="s">
        <v>203</v>
      </c>
      <c r="D4" s="13" t="s">
        <v>204</v>
      </c>
      <c r="E4" s="13" t="s">
        <v>205</v>
      </c>
      <c r="F4" s="13" t="s">
        <v>206</v>
      </c>
      <c r="G4" s="13" t="s">
        <v>207</v>
      </c>
      <c r="H4" s="13" t="s">
        <v>208</v>
      </c>
      <c r="I4" s="13" t="s">
        <v>209</v>
      </c>
      <c r="J4" s="13" t="s">
        <v>210</v>
      </c>
      <c r="K4" s="13" t="s">
        <v>211</v>
      </c>
      <c r="L4" s="13" t="s">
        <v>212</v>
      </c>
      <c r="M4" s="13" t="s">
        <v>213</v>
      </c>
    </row>
    <row r="5" customFormat="false" ht="15" hidden="false" customHeight="false" outlineLevel="0" collapsed="false">
      <c r="A5" s="5" t="s">
        <v>214</v>
      </c>
      <c r="B5" s="4"/>
      <c r="C5" s="30" t="n">
        <v>2025</v>
      </c>
      <c r="D5" s="30" t="n">
        <v>2026</v>
      </c>
      <c r="E5" s="30" t="n">
        <v>2027</v>
      </c>
      <c r="F5" s="30" t="n">
        <v>2028</v>
      </c>
      <c r="G5" s="30" t="n">
        <v>2029</v>
      </c>
      <c r="H5" s="30" t="n">
        <v>2030</v>
      </c>
      <c r="I5" s="30" t="n">
        <v>2031</v>
      </c>
      <c r="J5" s="30" t="n">
        <v>2032</v>
      </c>
      <c r="K5" s="30" t="n">
        <v>2033</v>
      </c>
      <c r="L5" s="30" t="n">
        <v>2034</v>
      </c>
      <c r="M5" s="30" t="n">
        <v>2035</v>
      </c>
    </row>
    <row r="6" customFormat="false" ht="15" hidden="false" customHeight="false" outlineLevel="0" collapsed="false">
      <c r="A6" s="5" t="s">
        <v>215</v>
      </c>
      <c r="B6" s="4"/>
      <c r="C6" s="31"/>
      <c r="D6" s="31" t="n">
        <f aca="false">MAX(0,D5-2029)</f>
        <v>0</v>
      </c>
      <c r="E6" s="31" t="n">
        <f aca="false">MAX(0,E5-2029)</f>
        <v>0</v>
      </c>
      <c r="F6" s="31" t="n">
        <f aca="false">MAX(0,F5-2029)</f>
        <v>0</v>
      </c>
      <c r="G6" s="31" t="n">
        <f aca="false">MAX(0,G5-2029)</f>
        <v>0</v>
      </c>
      <c r="H6" s="31" t="n">
        <f aca="false">MAX(0,H5-2029)</f>
        <v>1</v>
      </c>
      <c r="I6" s="31" t="n">
        <f aca="false">MAX(0,I5-2029)</f>
        <v>2</v>
      </c>
      <c r="J6" s="31" t="n">
        <f aca="false">MAX(0,J5-2029)</f>
        <v>3</v>
      </c>
      <c r="K6" s="31" t="n">
        <f aca="false">MAX(0,K5-2029)</f>
        <v>4</v>
      </c>
      <c r="L6" s="31" t="n">
        <f aca="false">MAX(0,L5-2029)</f>
        <v>5</v>
      </c>
      <c r="M6" s="31" t="n">
        <f aca="false">MAX(0,M5-2029)</f>
        <v>6</v>
      </c>
    </row>
    <row r="7" customFormat="false" ht="15" hidden="false" customHeight="false" outlineLevel="0" collapsed="false">
      <c r="A7" s="5" t="s">
        <v>216</v>
      </c>
      <c r="B7" s="4" t="s">
        <v>217</v>
      </c>
      <c r="C7" s="24"/>
      <c r="D7" s="24" t="n">
        <f aca="false">MIN(MAX(D5-2026,0),3)/3</f>
        <v>0</v>
      </c>
      <c r="E7" s="24" t="n">
        <f aca="false">MIN(MAX(E5-2026,0),3)/3</f>
        <v>0.333333333333333</v>
      </c>
      <c r="F7" s="24" t="n">
        <f aca="false">MIN(MAX(F5-2026,0),3)/3</f>
        <v>0.666666666666667</v>
      </c>
      <c r="G7" s="24" t="n">
        <f aca="false">MIN(MAX(G5-2026,0),3)/3</f>
        <v>1</v>
      </c>
      <c r="H7" s="24" t="n">
        <f aca="false">MIN(MAX(H5-2026,0),3)/3</f>
        <v>1</v>
      </c>
      <c r="I7" s="24" t="n">
        <f aca="false">MIN(MAX(I5-2026,0),3)/3</f>
        <v>1</v>
      </c>
      <c r="J7" s="24" t="n">
        <f aca="false">MIN(MAX(J5-2026,0),3)/3</f>
        <v>1</v>
      </c>
      <c r="K7" s="24" t="n">
        <f aca="false">MIN(MAX(K5-2026,0),3)/3</f>
        <v>1</v>
      </c>
      <c r="L7" s="24" t="n">
        <f aca="false">MIN(MAX(L5-2026,0),3)/3</f>
        <v>1</v>
      </c>
      <c r="M7" s="24" t="n">
        <f aca="false">MIN(MAX(M5-2026,0),3)/3</f>
        <v>1</v>
      </c>
    </row>
    <row r="8" customFormat="false" ht="15" hidden="false" customHeight="false" outlineLevel="0" collapsed="false">
      <c r="A8" s="5" t="s">
        <v>218</v>
      </c>
      <c r="B8" s="4" t="s">
        <v>219</v>
      </c>
      <c r="C8" s="32"/>
      <c r="D8" s="20" t="n">
        <v>0.25</v>
      </c>
      <c r="E8" s="32" t="n">
        <f aca="false">E5-2026</f>
        <v>1</v>
      </c>
      <c r="F8" s="32" t="n">
        <f aca="false">F5-2026</f>
        <v>2</v>
      </c>
      <c r="G8" s="32" t="n">
        <f aca="false">G5-2026</f>
        <v>3</v>
      </c>
      <c r="H8" s="32" t="n">
        <f aca="false">H5-2026</f>
        <v>4</v>
      </c>
      <c r="I8" s="32" t="n">
        <f aca="false">I5-2026</f>
        <v>5</v>
      </c>
      <c r="J8" s="32" t="n">
        <f aca="false">J5-2026</f>
        <v>6</v>
      </c>
      <c r="K8" s="32" t="n">
        <f aca="false">K5-2026</f>
        <v>7</v>
      </c>
      <c r="L8" s="32" t="n">
        <f aca="false">L5-2026</f>
        <v>8</v>
      </c>
      <c r="M8" s="32" t="n">
        <f aca="false">M5-2026</f>
        <v>9</v>
      </c>
    </row>
    <row r="10" customFormat="false" ht="15" hidden="false" customHeight="false" outlineLevel="0" collapsed="false">
      <c r="A10" s="5" t="s">
        <v>220</v>
      </c>
      <c r="B10" s="4" t="s">
        <v>221</v>
      </c>
      <c r="C10" s="24"/>
      <c r="D10" s="24" t="n">
        <f aca="false">D11/C11-1</f>
        <v>0.0723039215686274</v>
      </c>
      <c r="E10" s="24" t="n">
        <f aca="false">Scenarios!$B$4</f>
        <v>0.05</v>
      </c>
      <c r="F10" s="24" t="n">
        <f aca="false">Scenarios!$B$4</f>
        <v>0.05</v>
      </c>
      <c r="G10" s="24" t="n">
        <f aca="false">Scenarios!$B$4</f>
        <v>0.05</v>
      </c>
      <c r="H10" s="24" t="n">
        <f aca="false">Scenarios!$B$4+(Inputs!$B$54-Scenarios!$B$4)*H6/6</f>
        <v>0.0458333333333333</v>
      </c>
      <c r="I10" s="24" t="n">
        <f aca="false">Scenarios!$B$4+(Inputs!$B$54-Scenarios!$B$4)*I6/6</f>
        <v>0.0416666666666667</v>
      </c>
      <c r="J10" s="24" t="n">
        <f aca="false">Scenarios!$B$4+(Inputs!$B$54-Scenarios!$B$4)*J6/6</f>
        <v>0.0375</v>
      </c>
      <c r="K10" s="24" t="n">
        <f aca="false">Scenarios!$B$4+(Inputs!$B$54-Scenarios!$B$4)*K6/6</f>
        <v>0.0333333333333333</v>
      </c>
      <c r="L10" s="24" t="n">
        <f aca="false">Scenarios!$B$4+(Inputs!$B$54-Scenarios!$B$4)*L6/6</f>
        <v>0.0291666666666667</v>
      </c>
      <c r="M10" s="24" t="n">
        <f aca="false">Scenarios!$B$4+(Inputs!$B$54-Scenarios!$B$4)*M6/6</f>
        <v>0.025</v>
      </c>
    </row>
    <row r="11" customFormat="false" ht="15" hidden="false" customHeight="false" outlineLevel="0" collapsed="false">
      <c r="A11" s="3" t="s">
        <v>76</v>
      </c>
      <c r="B11" s="4" t="s">
        <v>222</v>
      </c>
      <c r="C11" s="33" t="n">
        <v>1632</v>
      </c>
      <c r="D11" s="34" t="n">
        <f aca="false">Inputs!$B$20</f>
        <v>1750</v>
      </c>
      <c r="E11" s="35" t="n">
        <f aca="false">D11*(1+E10)</f>
        <v>1837.5</v>
      </c>
      <c r="F11" s="35" t="n">
        <f aca="false">E11*(1+F10)</f>
        <v>1929.375</v>
      </c>
      <c r="G11" s="35" t="n">
        <f aca="false">F11*(1+G10)</f>
        <v>2025.84375</v>
      </c>
      <c r="H11" s="35" t="n">
        <f aca="false">G11*(1+H10)</f>
        <v>2118.694921875</v>
      </c>
      <c r="I11" s="35" t="n">
        <f aca="false">H11*(1+I10)</f>
        <v>2206.97387695313</v>
      </c>
      <c r="J11" s="35" t="n">
        <f aca="false">I11*(1+J10)</f>
        <v>2289.73539733887</v>
      </c>
      <c r="K11" s="35" t="n">
        <f aca="false">J11*(1+K10)</f>
        <v>2366.0599105835</v>
      </c>
      <c r="L11" s="35" t="n">
        <f aca="false">K11*(1+L10)</f>
        <v>2435.06999130885</v>
      </c>
      <c r="M11" s="35" t="n">
        <f aca="false">L11*(1+M10)</f>
        <v>2495.94674109157</v>
      </c>
    </row>
    <row r="12" customFormat="false" ht="15" hidden="false" customHeight="false" outlineLevel="0" collapsed="false">
      <c r="A12" s="5" t="s">
        <v>223</v>
      </c>
      <c r="B12" s="4" t="s">
        <v>221</v>
      </c>
      <c r="C12" s="24"/>
      <c r="D12" s="24" t="n">
        <f aca="false">D13/C13-1</f>
        <v>0.0730710270822688</v>
      </c>
      <c r="E12" s="24" t="n">
        <f aca="false">Scenarios!$B$6</f>
        <v>0.03</v>
      </c>
      <c r="F12" s="24" t="n">
        <f aca="false">Scenarios!$B$6</f>
        <v>0.03</v>
      </c>
      <c r="G12" s="24" t="n">
        <f aca="false">Scenarios!$B$6</f>
        <v>0.03</v>
      </c>
      <c r="H12" s="24" t="n">
        <f aca="false">Scenarios!$B$6+(Inputs!$B$54-Scenarios!$B$6)*H6/6</f>
        <v>0.0291666666666667</v>
      </c>
      <c r="I12" s="24" t="n">
        <f aca="false">Scenarios!$B$6+(Inputs!$B$54-Scenarios!$B$6)*I6/6</f>
        <v>0.0283333333333333</v>
      </c>
      <c r="J12" s="24" t="n">
        <f aca="false">Scenarios!$B$6+(Inputs!$B$54-Scenarios!$B$6)*J6/6</f>
        <v>0.0275</v>
      </c>
      <c r="K12" s="24" t="n">
        <f aca="false">Scenarios!$B$6+(Inputs!$B$54-Scenarios!$B$6)*K6/6</f>
        <v>0.0266666666666667</v>
      </c>
      <c r="L12" s="24" t="n">
        <f aca="false">Scenarios!$B$6+(Inputs!$B$54-Scenarios!$B$6)*L6/6</f>
        <v>0.0258333333333333</v>
      </c>
      <c r="M12" s="24" t="n">
        <f aca="false">Scenarios!$B$6+(Inputs!$B$54-Scenarios!$B$6)*M6/6</f>
        <v>0.025</v>
      </c>
    </row>
    <row r="13" customFormat="false" ht="15" hidden="false" customHeight="false" outlineLevel="0" collapsed="false">
      <c r="A13" s="5" t="s">
        <v>224</v>
      </c>
      <c r="B13" s="4" t="s">
        <v>225</v>
      </c>
      <c r="C13" s="17" t="n">
        <v>1957</v>
      </c>
      <c r="D13" s="9" t="n">
        <f aca="false">Inputs!$B$22</f>
        <v>2100</v>
      </c>
      <c r="E13" s="18" t="n">
        <f aca="false">D13*(1+E12)</f>
        <v>2163</v>
      </c>
      <c r="F13" s="18" t="n">
        <f aca="false">E13*(1+F12)</f>
        <v>2227.89</v>
      </c>
      <c r="G13" s="18" t="n">
        <f aca="false">F13*(1+G12)</f>
        <v>2294.7267</v>
      </c>
      <c r="H13" s="18" t="n">
        <f aca="false">G13*(1+H12)</f>
        <v>2361.65622875</v>
      </c>
      <c r="I13" s="18" t="n">
        <f aca="false">H13*(1+I12)</f>
        <v>2428.56982189792</v>
      </c>
      <c r="J13" s="18" t="n">
        <f aca="false">I13*(1+J12)</f>
        <v>2495.35549200011</v>
      </c>
      <c r="K13" s="18" t="n">
        <f aca="false">J13*(1+K12)</f>
        <v>2561.89830512011</v>
      </c>
      <c r="L13" s="18" t="n">
        <f aca="false">K13*(1+L12)</f>
        <v>2628.08067800238</v>
      </c>
      <c r="M13" s="18" t="n">
        <f aca="false">L13*(1+M12)</f>
        <v>2693.78269495244</v>
      </c>
    </row>
    <row r="14" customFormat="false" ht="15" hidden="false" customHeight="false" outlineLevel="0" collapsed="false">
      <c r="A14" s="5" t="s">
        <v>226</v>
      </c>
      <c r="B14" s="4" t="s">
        <v>227</v>
      </c>
      <c r="C14" s="18" t="n">
        <v>0</v>
      </c>
      <c r="D14" s="9" t="n">
        <f aca="false">-Inputs!$B$38</f>
        <v>-46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</row>
    <row r="15" customFormat="false" ht="15" hidden="false" customHeight="false" outlineLevel="0" collapsed="false">
      <c r="A15" s="3" t="s">
        <v>228</v>
      </c>
      <c r="B15" s="4"/>
      <c r="C15" s="35" t="n">
        <f aca="false">C11+C13+C14</f>
        <v>3589</v>
      </c>
      <c r="D15" s="35" t="n">
        <f aca="false">D11+D13+D14</f>
        <v>3804</v>
      </c>
      <c r="E15" s="35" t="n">
        <f aca="false">E11+E13+E14</f>
        <v>4000.5</v>
      </c>
      <c r="F15" s="35" t="n">
        <f aca="false">F11+F13+F14</f>
        <v>4157.265</v>
      </c>
      <c r="G15" s="35" t="n">
        <f aca="false">G11+G13+G14</f>
        <v>4320.57045</v>
      </c>
      <c r="H15" s="35" t="n">
        <f aca="false">H11+H13+H14</f>
        <v>4480.351150625</v>
      </c>
      <c r="I15" s="35" t="n">
        <f aca="false">I11+I13+I14</f>
        <v>4635.54369885104</v>
      </c>
      <c r="J15" s="35" t="n">
        <f aca="false">J11+J13+J14</f>
        <v>4785.09088933898</v>
      </c>
      <c r="K15" s="35" t="n">
        <f aca="false">K11+K13+K14</f>
        <v>4927.95821570361</v>
      </c>
      <c r="L15" s="35" t="n">
        <f aca="false">L11+L13+L14</f>
        <v>5063.15066931123</v>
      </c>
      <c r="M15" s="35" t="n">
        <f aca="false">M11+M13+M14</f>
        <v>5189.72943604401</v>
      </c>
    </row>
    <row r="16" customFormat="false" ht="15" hidden="false" customHeight="false" outlineLevel="0" collapsed="false">
      <c r="A16" s="5" t="s">
        <v>229</v>
      </c>
      <c r="B16" s="4"/>
      <c r="C16" s="24"/>
      <c r="D16" s="24" t="n">
        <f aca="false">D15/C15-1</f>
        <v>0.059905266090833</v>
      </c>
      <c r="E16" s="24" t="n">
        <f aca="false">E15/D15-1</f>
        <v>0.0516561514195584</v>
      </c>
      <c r="F16" s="24" t="n">
        <f aca="false">F15/E15-1</f>
        <v>0.0391863517060367</v>
      </c>
      <c r="G16" s="24" t="n">
        <f aca="false">G15/F15-1</f>
        <v>0.0392819437779406</v>
      </c>
      <c r="H16" s="24" t="n">
        <f aca="false">H15/G15-1</f>
        <v>0.036981389951644</v>
      </c>
      <c r="I16" s="24" t="n">
        <f aca="false">I15/H15-1</f>
        <v>0.0346384787728955</v>
      </c>
      <c r="J16" s="24" t="n">
        <f aca="false">J15/I15-1</f>
        <v>0.0322609817107327</v>
      </c>
      <c r="K16" s="24" t="n">
        <f aca="false">K15/J15-1</f>
        <v>0.0298567633653388</v>
      </c>
      <c r="L16" s="24" t="n">
        <f aca="false">L15/K15-1</f>
        <v>0.0274337662151458</v>
      </c>
      <c r="M16" s="24" t="n">
        <f aca="false">M15/L15-1</f>
        <v>0.0249999999999999</v>
      </c>
    </row>
    <row r="18" customFormat="false" ht="15" hidden="false" customHeight="false" outlineLevel="0" collapsed="false">
      <c r="A18" s="5" t="s">
        <v>230</v>
      </c>
      <c r="B18" s="4" t="s">
        <v>231</v>
      </c>
      <c r="C18" s="24" t="n">
        <f aca="false">C19/C11</f>
        <v>0.318627450980392</v>
      </c>
      <c r="D18" s="24" t="n">
        <f aca="false">Inputs!$B$21/Inputs!$B$20</f>
        <v>0.331428571428571</v>
      </c>
      <c r="E18" s="24" t="n">
        <f aca="false">$D18+(Scenarios!$B$5-$D18)*E7</f>
        <v>0.327619047619048</v>
      </c>
      <c r="F18" s="24" t="n">
        <f aca="false">$D18+(Scenarios!$B$5-$D18)*F7</f>
        <v>0.323809523809524</v>
      </c>
      <c r="G18" s="24" t="n">
        <f aca="false">$D18+(Scenarios!$B$5-$D18)*G7</f>
        <v>0.32</v>
      </c>
      <c r="H18" s="24" t="n">
        <f aca="false">$D18+(Scenarios!$B$5-$D18)*H7</f>
        <v>0.32</v>
      </c>
      <c r="I18" s="24" t="n">
        <f aca="false">$D18+(Scenarios!$B$5-$D18)*I7</f>
        <v>0.32</v>
      </c>
      <c r="J18" s="24" t="n">
        <f aca="false">$D18+(Scenarios!$B$5-$D18)*J7</f>
        <v>0.32</v>
      </c>
      <c r="K18" s="24" t="n">
        <f aca="false">$D18+(Scenarios!$B$5-$D18)*K7</f>
        <v>0.32</v>
      </c>
      <c r="L18" s="24" t="n">
        <f aca="false">$D18+(Scenarios!$B$5-$D18)*L7</f>
        <v>0.32</v>
      </c>
      <c r="M18" s="24" t="n">
        <f aca="false">$D18+(Scenarios!$B$5-$D18)*M7</f>
        <v>0.32</v>
      </c>
    </row>
    <row r="19" customFormat="false" ht="15" hidden="false" customHeight="false" outlineLevel="0" collapsed="false">
      <c r="A19" s="5" t="s">
        <v>78</v>
      </c>
      <c r="B19" s="4"/>
      <c r="C19" s="17" t="n">
        <v>520</v>
      </c>
      <c r="D19" s="18" t="n">
        <f aca="false">D11*D18</f>
        <v>580</v>
      </c>
      <c r="E19" s="18" t="n">
        <f aca="false">E11*E18</f>
        <v>602</v>
      </c>
      <c r="F19" s="18" t="n">
        <f aca="false">F11*F18</f>
        <v>624.75</v>
      </c>
      <c r="G19" s="18" t="n">
        <f aca="false">G11*G18</f>
        <v>648.27</v>
      </c>
      <c r="H19" s="18" t="n">
        <f aca="false">H11*H18</f>
        <v>677.982375</v>
      </c>
      <c r="I19" s="18" t="n">
        <f aca="false">I11*I18</f>
        <v>706.231640625</v>
      </c>
      <c r="J19" s="18" t="n">
        <f aca="false">J11*J18</f>
        <v>732.715327148438</v>
      </c>
      <c r="K19" s="18" t="n">
        <f aca="false">K11*K18</f>
        <v>757.139171386719</v>
      </c>
      <c r="L19" s="18" t="n">
        <f aca="false">L11*L18</f>
        <v>779.222397218832</v>
      </c>
      <c r="M19" s="18" t="n">
        <f aca="false">M11*M18</f>
        <v>798.702957149302</v>
      </c>
    </row>
    <row r="20" customFormat="false" ht="15" hidden="false" customHeight="false" outlineLevel="0" collapsed="false">
      <c r="A20" s="5" t="s">
        <v>232</v>
      </c>
      <c r="B20" s="4" t="s">
        <v>231</v>
      </c>
      <c r="C20" s="24" t="n">
        <f aca="false">C21/C13</f>
        <v>0.0797138477261114</v>
      </c>
      <c r="D20" s="24" t="n">
        <f aca="false">Inputs!$B$23/Inputs!$B$22</f>
        <v>0.0857142857142857</v>
      </c>
      <c r="E20" s="24" t="n">
        <f aca="false">$D20+(Scenarios!$B$7-$D20)*E7</f>
        <v>0.0854761904761905</v>
      </c>
      <c r="F20" s="24" t="n">
        <f aca="false">$D20+(Scenarios!$B$7-$D20)*F7</f>
        <v>0.0852380952380952</v>
      </c>
      <c r="G20" s="24" t="n">
        <f aca="false">$D20+(Scenarios!$B$7-$D20)*G7</f>
        <v>0.085</v>
      </c>
      <c r="H20" s="24" t="n">
        <f aca="false">$D20+(Scenarios!$B$7-$D20)*H7</f>
        <v>0.085</v>
      </c>
      <c r="I20" s="24" t="n">
        <f aca="false">$D20+(Scenarios!$B$7-$D20)*I7</f>
        <v>0.085</v>
      </c>
      <c r="J20" s="24" t="n">
        <f aca="false">$D20+(Scenarios!$B$7-$D20)*J7</f>
        <v>0.085</v>
      </c>
      <c r="K20" s="24" t="n">
        <f aca="false">$D20+(Scenarios!$B$7-$D20)*K7</f>
        <v>0.085</v>
      </c>
      <c r="L20" s="24" t="n">
        <f aca="false">$D20+(Scenarios!$B$7-$D20)*L7</f>
        <v>0.085</v>
      </c>
      <c r="M20" s="24" t="n">
        <f aca="false">$D20+(Scenarios!$B$7-$D20)*M7</f>
        <v>0.085</v>
      </c>
    </row>
    <row r="21" customFormat="false" ht="15" hidden="false" customHeight="false" outlineLevel="0" collapsed="false">
      <c r="A21" s="5" t="s">
        <v>82</v>
      </c>
      <c r="B21" s="4"/>
      <c r="C21" s="17" t="n">
        <v>156</v>
      </c>
      <c r="D21" s="18" t="n">
        <f aca="false">D13*D20</f>
        <v>180</v>
      </c>
      <c r="E21" s="18" t="n">
        <f aca="false">E13*E20</f>
        <v>184.885</v>
      </c>
      <c r="F21" s="18" t="n">
        <f aca="false">F13*F20</f>
        <v>189.9011</v>
      </c>
      <c r="G21" s="18" t="n">
        <f aca="false">G13*G20</f>
        <v>195.0517695</v>
      </c>
      <c r="H21" s="18" t="n">
        <f aca="false">H13*H20</f>
        <v>200.74077944375</v>
      </c>
      <c r="I21" s="18" t="n">
        <f aca="false">I13*I20</f>
        <v>206.428434861323</v>
      </c>
      <c r="J21" s="18" t="n">
        <f aca="false">J13*J20</f>
        <v>212.105216820009</v>
      </c>
      <c r="K21" s="18" t="n">
        <f aca="false">K13*K20</f>
        <v>217.76135593521</v>
      </c>
      <c r="L21" s="18" t="n">
        <f aca="false">L13*L20</f>
        <v>223.386857630202</v>
      </c>
      <c r="M21" s="18" t="n">
        <f aca="false">M13*M20</f>
        <v>228.971529070958</v>
      </c>
    </row>
    <row r="22" customFormat="false" ht="15" hidden="false" customHeight="false" outlineLevel="0" collapsed="false">
      <c r="A22" s="5" t="s">
        <v>233</v>
      </c>
      <c r="B22" s="4" t="s">
        <v>227</v>
      </c>
      <c r="C22" s="18" t="n">
        <v>0</v>
      </c>
      <c r="D22" s="9" t="n">
        <f aca="false">-Inputs!$B$39</f>
        <v>-39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</row>
    <row r="23" customFormat="false" ht="15" hidden="false" customHeight="false" outlineLevel="0" collapsed="false">
      <c r="A23" s="5" t="s">
        <v>234</v>
      </c>
      <c r="B23" s="4" t="s">
        <v>235</v>
      </c>
      <c r="C23" s="17" t="n">
        <v>-29</v>
      </c>
      <c r="D23" s="9" t="n">
        <f aca="false">-Inputs!$B$27</f>
        <v>-35</v>
      </c>
      <c r="E23" s="18" t="n">
        <f aca="false">D23*(1+Inputs!$B$52)</f>
        <v>-36.05</v>
      </c>
      <c r="F23" s="18" t="n">
        <f aca="false">E23*(1+Inputs!$B$52)</f>
        <v>-37.1315</v>
      </c>
      <c r="G23" s="18" t="n">
        <f aca="false">F23*(1+Inputs!$B$52)</f>
        <v>-38.245445</v>
      </c>
      <c r="H23" s="18" t="n">
        <f aca="false">G23*(1+Inputs!$B$52)</f>
        <v>-39.39280835</v>
      </c>
      <c r="I23" s="18" t="n">
        <f aca="false">H23*(1+Inputs!$B$52)</f>
        <v>-40.5745926005</v>
      </c>
      <c r="J23" s="18" t="n">
        <f aca="false">I23*(1+Inputs!$B$52)</f>
        <v>-41.791830378515</v>
      </c>
      <c r="K23" s="18" t="n">
        <f aca="false">J23*(1+Inputs!$B$52)</f>
        <v>-43.0455852898705</v>
      </c>
      <c r="L23" s="18" t="n">
        <f aca="false">K23*(1+Inputs!$B$52)</f>
        <v>-44.3369528485666</v>
      </c>
      <c r="M23" s="18" t="n">
        <f aca="false">L23*(1+Inputs!$B$52)</f>
        <v>-45.6670614340236</v>
      </c>
    </row>
    <row r="24" customFormat="false" ht="15" hidden="false" customHeight="false" outlineLevel="0" collapsed="false">
      <c r="A24" s="3" t="s">
        <v>84</v>
      </c>
      <c r="B24" s="4"/>
      <c r="C24" s="35" t="n">
        <f aca="false">C19+C21+C22+C23</f>
        <v>647</v>
      </c>
      <c r="D24" s="35" t="n">
        <f aca="false">D19+D21+D22+D23</f>
        <v>686</v>
      </c>
      <c r="E24" s="35" t="n">
        <f aca="false">E19+E21+E22+E23</f>
        <v>750.835</v>
      </c>
      <c r="F24" s="35" t="n">
        <f aca="false">F19+F21+F22+F23</f>
        <v>777.5196</v>
      </c>
      <c r="G24" s="35" t="n">
        <f aca="false">G19+G21+G22+G23</f>
        <v>805.0763245</v>
      </c>
      <c r="H24" s="35" t="n">
        <f aca="false">H19+H21+H22+H23</f>
        <v>839.33034609375</v>
      </c>
      <c r="I24" s="35" t="n">
        <f aca="false">I19+I21+I22+I23</f>
        <v>872.085482885823</v>
      </c>
      <c r="J24" s="35" t="n">
        <f aca="false">J19+J21+J22+J23</f>
        <v>903.028713589932</v>
      </c>
      <c r="K24" s="35" t="n">
        <f aca="false">K19+K21+K22+K23</f>
        <v>931.854942032058</v>
      </c>
      <c r="L24" s="35" t="n">
        <f aca="false">L19+L21+L22+L23</f>
        <v>958.272302000467</v>
      </c>
      <c r="M24" s="35" t="n">
        <f aca="false">M19+M21+M22+M23</f>
        <v>982.007424786236</v>
      </c>
    </row>
    <row r="25" customFormat="false" ht="15" hidden="false" customHeight="false" outlineLevel="0" collapsed="false">
      <c r="A25" s="5" t="s">
        <v>236</v>
      </c>
      <c r="B25" s="4"/>
      <c r="C25" s="24" t="n">
        <f aca="false">C24/C15</f>
        <v>0.180273056561716</v>
      </c>
      <c r="D25" s="24" t="n">
        <f aca="false">D24/D15</f>
        <v>0.180336487907466</v>
      </c>
      <c r="E25" s="24" t="n">
        <f aca="false">E24/E15</f>
        <v>0.187685289338833</v>
      </c>
      <c r="F25" s="24" t="n">
        <f aca="false">F24/F15</f>
        <v>0.18702671107086</v>
      </c>
      <c r="G25" s="24" t="n">
        <f aca="false">G24/G15</f>
        <v>0.186335654936491</v>
      </c>
      <c r="H25" s="24" t="n">
        <f aca="false">H24/H15</f>
        <v>0.187335839954568</v>
      </c>
      <c r="I25" s="24" t="n">
        <f aca="false">I24/I15</f>
        <v>0.188130139535083</v>
      </c>
      <c r="J25" s="24" t="n">
        <f aca="false">J24/J15</f>
        <v>0.188717149678776</v>
      </c>
      <c r="K25" s="24" t="n">
        <f aca="false">K24/K15</f>
        <v>0.189095544491951</v>
      </c>
      <c r="L25" s="24" t="n">
        <f aca="false">L24/L15</f>
        <v>0.189264030361322</v>
      </c>
      <c r="M25" s="24" t="n">
        <f aca="false">M24/M15</f>
        <v>0.189221314307051</v>
      </c>
    </row>
    <row r="27" customFormat="false" ht="15" hidden="false" customHeight="false" outlineLevel="0" collapsed="false">
      <c r="A27" s="5" t="s">
        <v>123</v>
      </c>
      <c r="B27" s="4"/>
      <c r="C27" s="17" t="n">
        <v>138</v>
      </c>
      <c r="D27" s="18" t="n">
        <f aca="false">Inputs!$B$48*D15</f>
        <v>144.552</v>
      </c>
      <c r="E27" s="18" t="n">
        <f aca="false">Inputs!$B$48*E15</f>
        <v>152.019</v>
      </c>
      <c r="F27" s="18" t="n">
        <f aca="false">Inputs!$B$48*F15</f>
        <v>157.97607</v>
      </c>
      <c r="G27" s="18" t="n">
        <f aca="false">Inputs!$B$48*G15</f>
        <v>164.1816771</v>
      </c>
      <c r="H27" s="18" t="n">
        <f aca="false">Inputs!$B$48*H15</f>
        <v>170.25334372375</v>
      </c>
      <c r="I27" s="18" t="n">
        <f aca="false">Inputs!$B$48*I15</f>
        <v>176.15066055634</v>
      </c>
      <c r="J27" s="18" t="n">
        <f aca="false">Inputs!$B$48*J15</f>
        <v>181.833453794881</v>
      </c>
      <c r="K27" s="18" t="n">
        <f aca="false">Inputs!$B$48*K15</f>
        <v>187.262412196737</v>
      </c>
      <c r="L27" s="18" t="n">
        <f aca="false">Inputs!$B$48*L15</f>
        <v>192.399725433827</v>
      </c>
      <c r="M27" s="18" t="n">
        <f aca="false">Inputs!$B$48*M15</f>
        <v>197.209718569672</v>
      </c>
    </row>
    <row r="28" customFormat="false" ht="15" hidden="false" customHeight="false" outlineLevel="0" collapsed="false">
      <c r="A28" s="3" t="s">
        <v>237</v>
      </c>
      <c r="B28" s="4"/>
      <c r="C28" s="35" t="n">
        <f aca="false">C24+C27</f>
        <v>785</v>
      </c>
      <c r="D28" s="35" t="n">
        <f aca="false">D24+D27</f>
        <v>830.552</v>
      </c>
      <c r="E28" s="35" t="n">
        <f aca="false">E24+E27</f>
        <v>902.854</v>
      </c>
      <c r="F28" s="35" t="n">
        <f aca="false">F24+F27</f>
        <v>935.49567</v>
      </c>
      <c r="G28" s="35" t="n">
        <f aca="false">G24+G27</f>
        <v>969.2580016</v>
      </c>
      <c r="H28" s="35" t="n">
        <f aca="false">H24+H27</f>
        <v>1009.5836898175</v>
      </c>
      <c r="I28" s="35" t="n">
        <f aca="false">I24+I27</f>
        <v>1048.23614344216</v>
      </c>
      <c r="J28" s="35" t="n">
        <f aca="false">J24+J27</f>
        <v>1084.86216738481</v>
      </c>
      <c r="K28" s="35" t="n">
        <f aca="false">K24+K27</f>
        <v>1119.1173542288</v>
      </c>
      <c r="L28" s="35" t="n">
        <f aca="false">L24+L27</f>
        <v>1150.67202743429</v>
      </c>
      <c r="M28" s="35" t="n">
        <f aca="false">M24+M27</f>
        <v>1179.21714335591</v>
      </c>
    </row>
    <row r="29" customFormat="false" ht="15" hidden="false" customHeight="false" outlineLevel="0" collapsed="false">
      <c r="A29" s="5" t="s">
        <v>128</v>
      </c>
      <c r="B29" s="4"/>
      <c r="C29" s="17" t="n">
        <v>-31</v>
      </c>
      <c r="D29" s="18" t="n">
        <f aca="false">-Inputs!$B$50*D15</f>
        <v>-34.236</v>
      </c>
      <c r="E29" s="18" t="n">
        <f aca="false">-Inputs!$B$50*E15</f>
        <v>-36.0045</v>
      </c>
      <c r="F29" s="18" t="n">
        <f aca="false">-Inputs!$B$50*F15</f>
        <v>-37.415385</v>
      </c>
      <c r="G29" s="18" t="n">
        <f aca="false">-Inputs!$B$50*G15</f>
        <v>-38.88513405</v>
      </c>
      <c r="H29" s="18" t="n">
        <f aca="false">-Inputs!$B$50*H15</f>
        <v>-40.323160355625</v>
      </c>
      <c r="I29" s="18" t="n">
        <f aca="false">-Inputs!$B$50*I15</f>
        <v>-41.7198932896594</v>
      </c>
      <c r="J29" s="18" t="n">
        <f aca="false">-Inputs!$B$50*J15</f>
        <v>-43.0658180040508</v>
      </c>
      <c r="K29" s="18" t="n">
        <f aca="false">-Inputs!$B$50*K15</f>
        <v>-44.3516239413325</v>
      </c>
      <c r="L29" s="18" t="n">
        <f aca="false">-Inputs!$B$50*L15</f>
        <v>-45.5683560238011</v>
      </c>
      <c r="M29" s="18" t="n">
        <f aca="false">-Inputs!$B$50*M15</f>
        <v>-46.7075649243961</v>
      </c>
    </row>
    <row r="30" customFormat="false" ht="15" hidden="false" customHeight="false" outlineLevel="0" collapsed="false">
      <c r="A30" s="5" t="s">
        <v>126</v>
      </c>
      <c r="B30" s="4"/>
      <c r="C30" s="17" t="n">
        <v>-94</v>
      </c>
      <c r="D30" s="18" t="n">
        <f aca="false">-Inputs!$B$49*D15</f>
        <v>-114.12</v>
      </c>
      <c r="E30" s="18" t="n">
        <f aca="false">-Inputs!$B$49*E15</f>
        <v>-120.015</v>
      </c>
      <c r="F30" s="18" t="n">
        <f aca="false">-Inputs!$B$49*F15</f>
        <v>-124.71795</v>
      </c>
      <c r="G30" s="18" t="n">
        <f aca="false">-Inputs!$B$49*G15</f>
        <v>-129.6171135</v>
      </c>
      <c r="H30" s="18" t="n">
        <f aca="false">-Inputs!$B$49*H15</f>
        <v>-134.41053451875</v>
      </c>
      <c r="I30" s="18" t="n">
        <f aca="false">-Inputs!$B$49*I15</f>
        <v>-139.066310965531</v>
      </c>
      <c r="J30" s="18" t="n">
        <f aca="false">-Inputs!$B$49*J15</f>
        <v>-143.552726680169</v>
      </c>
      <c r="K30" s="18" t="n">
        <f aca="false">-Inputs!$B$49*K15</f>
        <v>-147.838746471108</v>
      </c>
      <c r="L30" s="18" t="n">
        <f aca="false">-Inputs!$B$49*L15</f>
        <v>-151.894520079337</v>
      </c>
      <c r="M30" s="18" t="n">
        <f aca="false">-Inputs!$B$49*M15</f>
        <v>-155.69188308132</v>
      </c>
    </row>
    <row r="31" customFormat="false" ht="15" hidden="false" customHeight="false" outlineLevel="0" collapsed="false">
      <c r="A31" s="5" t="s">
        <v>238</v>
      </c>
      <c r="B31" s="4" t="s">
        <v>239</v>
      </c>
      <c r="C31" s="17" t="n">
        <v>33</v>
      </c>
      <c r="D31" s="18" t="n">
        <f aca="false">-Inputs!$B$51*(D15-C15)</f>
        <v>-21.5</v>
      </c>
      <c r="E31" s="18" t="n">
        <f aca="false">-Inputs!$B$51*(E15-D15)</f>
        <v>-19.65</v>
      </c>
      <c r="F31" s="18" t="n">
        <f aca="false">-Inputs!$B$51*(F15-E15)</f>
        <v>-15.6764999999999</v>
      </c>
      <c r="G31" s="18" t="n">
        <f aca="false">-Inputs!$B$51*(G15-F15)</f>
        <v>-16.330545</v>
      </c>
      <c r="H31" s="18" t="n">
        <f aca="false">-Inputs!$B$51*(H15-G15)</f>
        <v>-15.9780700625</v>
      </c>
      <c r="I31" s="18" t="n">
        <f aca="false">-Inputs!$B$51*(I15-H15)</f>
        <v>-15.5192548226042</v>
      </c>
      <c r="J31" s="18" t="n">
        <f aca="false">-Inputs!$B$51*(J15-I15)</f>
        <v>-14.9547190487935</v>
      </c>
      <c r="K31" s="18" t="n">
        <f aca="false">-Inputs!$B$51*(K15-J15)</f>
        <v>-14.2867326364632</v>
      </c>
      <c r="L31" s="18" t="n">
        <f aca="false">-Inputs!$B$51*(L15-K15)</f>
        <v>-13.519245360762</v>
      </c>
      <c r="M31" s="18" t="n">
        <f aca="false">-Inputs!$B$51*(M15-L15)</f>
        <v>-12.657876673278</v>
      </c>
    </row>
    <row r="32" customFormat="false" ht="15" hidden="false" customHeight="false" outlineLevel="0" collapsed="false">
      <c r="A32" s="5" t="s">
        <v>240</v>
      </c>
      <c r="B32" s="4" t="s">
        <v>241</v>
      </c>
      <c r="C32" s="24" t="n">
        <f aca="false">-C33/C11</f>
        <v>0.198529411764706</v>
      </c>
      <c r="D32" s="24" t="n">
        <f aca="false">Inputs!$B$25/Inputs!$B$20</f>
        <v>0.205714285714286</v>
      </c>
      <c r="E32" s="24" t="n">
        <f aca="false">$D32+(Scenarios!$B$8-$D32)*E7</f>
        <v>0.19047619047619</v>
      </c>
      <c r="F32" s="24" t="n">
        <f aca="false">$D32+(Scenarios!$B$8-$D32)*F7</f>
        <v>0.175238095238095</v>
      </c>
      <c r="G32" s="24" t="n">
        <f aca="false">$D32+(Scenarios!$B$8-$D32)*G7</f>
        <v>0.16</v>
      </c>
      <c r="H32" s="24" t="n">
        <f aca="false">$G$32+(Scenarios!$B$9-$G$32)*H6/6</f>
        <v>0.146666666666667</v>
      </c>
      <c r="I32" s="24" t="n">
        <f aca="false">$G$32+(Scenarios!$B$9-$G$32)*I6/6</f>
        <v>0.133333333333333</v>
      </c>
      <c r="J32" s="24" t="n">
        <f aca="false">$G$32+(Scenarios!$B$9-$G$32)*J6/6</f>
        <v>0.12</v>
      </c>
      <c r="K32" s="24" t="n">
        <f aca="false">$G$32+(Scenarios!$B$9-$G$32)*K6/6</f>
        <v>0.106666666666667</v>
      </c>
      <c r="L32" s="24" t="n">
        <f aca="false">$G$32+(Scenarios!$B$9-$G$32)*L6/6</f>
        <v>0.0933333333333333</v>
      </c>
      <c r="M32" s="24" t="n">
        <f aca="false">$G$32+(Scenarios!$B$9-$G$32)*M6/6</f>
        <v>0.08</v>
      </c>
    </row>
    <row r="33" customFormat="false" ht="15" hidden="false" customHeight="false" outlineLevel="0" collapsed="false">
      <c r="A33" s="5" t="s">
        <v>242</v>
      </c>
      <c r="B33" s="4" t="s">
        <v>243</v>
      </c>
      <c r="C33" s="17" t="n">
        <v>-324</v>
      </c>
      <c r="D33" s="18" t="n">
        <f aca="false">-D32*D11</f>
        <v>-360</v>
      </c>
      <c r="E33" s="18" t="n">
        <f aca="false">-E32*E11</f>
        <v>-350</v>
      </c>
      <c r="F33" s="18" t="n">
        <f aca="false">-F32*F11</f>
        <v>-338.1</v>
      </c>
      <c r="G33" s="18" t="n">
        <f aca="false">-G32*G11</f>
        <v>-324.135</v>
      </c>
      <c r="H33" s="18" t="n">
        <f aca="false">-H32*H11</f>
        <v>-310.741921875</v>
      </c>
      <c r="I33" s="18" t="n">
        <f aca="false">-I32*I11</f>
        <v>-294.26318359375</v>
      </c>
      <c r="J33" s="18" t="n">
        <f aca="false">-J32*J11</f>
        <v>-274.768247680664</v>
      </c>
      <c r="K33" s="18" t="n">
        <f aca="false">-K32*K11</f>
        <v>-252.379723795573</v>
      </c>
      <c r="L33" s="18" t="n">
        <f aca="false">-L32*L11</f>
        <v>-227.273199188826</v>
      </c>
      <c r="M33" s="18" t="n">
        <f aca="false">-M32*M11</f>
        <v>-199.675739287326</v>
      </c>
    </row>
    <row r="34" customFormat="false" ht="15" hidden="false" customHeight="false" outlineLevel="0" collapsed="false">
      <c r="A34" s="5" t="s">
        <v>244</v>
      </c>
      <c r="B34" s="4"/>
      <c r="C34" s="17" t="n">
        <v>-68</v>
      </c>
      <c r="D34" s="9" t="n">
        <f aca="false">-Inputs!$B$56</f>
        <v>-50</v>
      </c>
      <c r="E34" s="9" t="n">
        <f aca="false">-Inputs!$B$57</f>
        <v>-30</v>
      </c>
      <c r="F34" s="9" t="n">
        <f aca="false">-Inputs!$B$58</f>
        <v>-15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</row>
    <row r="35" customFormat="false" ht="15" hidden="false" customHeight="false" outlineLevel="0" collapsed="false">
      <c r="A35" s="5" t="s">
        <v>245</v>
      </c>
      <c r="B35" s="4"/>
      <c r="C35" s="17" t="n">
        <v>-22</v>
      </c>
      <c r="D35" s="18" t="n">
        <f aca="false">-Inputs!$B$53</f>
        <v>-5</v>
      </c>
      <c r="E35" s="18" t="n">
        <f aca="false">-Inputs!$B$53</f>
        <v>-5</v>
      </c>
      <c r="F35" s="18" t="n">
        <f aca="false">-Inputs!$B$53</f>
        <v>-5</v>
      </c>
      <c r="G35" s="18" t="n">
        <f aca="false">-Inputs!$B$53</f>
        <v>-5</v>
      </c>
      <c r="H35" s="18" t="n">
        <f aca="false">-Inputs!$B$53</f>
        <v>-5</v>
      </c>
      <c r="I35" s="18" t="n">
        <f aca="false">-Inputs!$B$53</f>
        <v>-5</v>
      </c>
      <c r="J35" s="18" t="n">
        <f aca="false">-Inputs!$B$53</f>
        <v>-5</v>
      </c>
      <c r="K35" s="18" t="n">
        <f aca="false">-Inputs!$B$53</f>
        <v>-5</v>
      </c>
      <c r="L35" s="18" t="n">
        <f aca="false">-Inputs!$B$53</f>
        <v>-5</v>
      </c>
      <c r="M35" s="18" t="n">
        <f aca="false">-Inputs!$B$53</f>
        <v>-5</v>
      </c>
    </row>
    <row r="36" customFormat="false" ht="15" hidden="false" customHeight="false" outlineLevel="0" collapsed="false">
      <c r="A36" s="5" t="s">
        <v>246</v>
      </c>
      <c r="B36" s="4" t="s">
        <v>247</v>
      </c>
      <c r="C36" s="17" t="n">
        <v>-27</v>
      </c>
      <c r="D36" s="9" t="n">
        <f aca="false">-Inputs!$B$59</f>
        <v>-25</v>
      </c>
      <c r="E36" s="9" t="n">
        <f aca="false">-Inputs!$B$60</f>
        <v>-15</v>
      </c>
      <c r="F36" s="9" t="n">
        <f aca="false">-Inputs!$B$61</f>
        <v>-5</v>
      </c>
      <c r="G36" s="18" t="n">
        <v>0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0</v>
      </c>
      <c r="M36" s="18" t="n">
        <v>0</v>
      </c>
    </row>
    <row r="37" customFormat="false" ht="15" hidden="false" customHeight="false" outlineLevel="0" collapsed="false">
      <c r="A37" s="3" t="s">
        <v>248</v>
      </c>
      <c r="B37" s="4" t="s">
        <v>249</v>
      </c>
      <c r="C37" s="35" t="n">
        <f aca="false">C24+C27+C29+C30+C31+C33+C34+C35+C36</f>
        <v>252</v>
      </c>
      <c r="D37" s="35" t="n">
        <f aca="false">D24+D27+D29+D30+D31+D33+D34+D35+D36</f>
        <v>220.696</v>
      </c>
      <c r="E37" s="35" t="n">
        <f aca="false">E24+E27+E29+E30+E31+E33+E34+E35+E36</f>
        <v>327.1845</v>
      </c>
      <c r="F37" s="35" t="n">
        <f aca="false">F24+F27+F29+F30+F31+F33+F34+F35+F36</f>
        <v>394.585835</v>
      </c>
      <c r="G37" s="35" t="n">
        <f aca="false">G24+G27+G29+G30+G31+G33+G34+G35+G36</f>
        <v>455.29020905</v>
      </c>
      <c r="H37" s="35" t="n">
        <f aca="false">H24+H27+H29+H30+H31+H33+H34+H35+H36</f>
        <v>503.130003005625</v>
      </c>
      <c r="I37" s="35" t="n">
        <f aca="false">I24+I27+I29+I30+I31+I33+I34+I35+I36</f>
        <v>552.667500770618</v>
      </c>
      <c r="J37" s="35" t="n">
        <f aca="false">J24+J27+J29+J30+J31+J33+J34+J35+J36</f>
        <v>603.520655971135</v>
      </c>
      <c r="K37" s="35" t="n">
        <f aca="false">K24+K27+K29+K30+K31+K33+K34+K35+K36</f>
        <v>655.260527384318</v>
      </c>
      <c r="L37" s="35" t="n">
        <f aca="false">L24+L27+L29+L30+L31+L33+L34+L35+L36</f>
        <v>707.416706781568</v>
      </c>
      <c r="M37" s="35" t="n">
        <f aca="false">M24+M27+M29+M30+M31+M33+M34+M35+M36</f>
        <v>759.484079389589</v>
      </c>
    </row>
    <row r="38" customFormat="false" ht="15" hidden="false" customHeight="false" outlineLevel="0" collapsed="false">
      <c r="A38" s="5" t="s">
        <v>250</v>
      </c>
      <c r="B38" s="4" t="s">
        <v>251</v>
      </c>
      <c r="C38" s="18"/>
      <c r="D38" s="18" t="n">
        <f aca="false">-Inputs!$B$55*MAX(0,D24+D33)</f>
        <v>-66.504</v>
      </c>
      <c r="E38" s="18" t="n">
        <f aca="false">-Inputs!$B$55*MAX(0,E24+E33)</f>
        <v>-81.77034</v>
      </c>
      <c r="F38" s="18" t="n">
        <f aca="false">-Inputs!$B$55*MAX(0,F24+F33)</f>
        <v>-89.6415984</v>
      </c>
      <c r="G38" s="18" t="n">
        <f aca="false">-Inputs!$B$55*MAX(0,G24+G33)</f>
        <v>-98.112030198</v>
      </c>
      <c r="H38" s="18" t="n">
        <f aca="false">-Inputs!$B$55*MAX(0,H24+H33)</f>
        <v>-107.832038540625</v>
      </c>
      <c r="I38" s="18" t="n">
        <f aca="false">-Inputs!$B$55*MAX(0,I24+I33)</f>
        <v>-117.875749055583</v>
      </c>
      <c r="J38" s="18" t="n">
        <f aca="false">-Inputs!$B$55*MAX(0,J24+J33)</f>
        <v>-128.165135045491</v>
      </c>
      <c r="K38" s="18" t="n">
        <f aca="false">-Inputs!$B$55*MAX(0,K24+K33)</f>
        <v>-138.612944520243</v>
      </c>
      <c r="L38" s="18" t="n">
        <f aca="false">-Inputs!$B$55*MAX(0,L24+L33)</f>
        <v>-149.123816973575</v>
      </c>
      <c r="M38" s="18" t="n">
        <f aca="false">-Inputs!$B$55*MAX(0,M24+M33)</f>
        <v>-159.595663841778</v>
      </c>
    </row>
    <row r="39" customFormat="false" ht="15" hidden="false" customHeight="false" outlineLevel="0" collapsed="false">
      <c r="A39" s="3" t="s">
        <v>252</v>
      </c>
      <c r="B39" s="4"/>
      <c r="C39" s="35"/>
      <c r="D39" s="35" t="n">
        <f aca="false">D37+D38</f>
        <v>154.192</v>
      </c>
      <c r="E39" s="35" t="n">
        <f aca="false">E37+E38</f>
        <v>245.41416</v>
      </c>
      <c r="F39" s="35" t="n">
        <f aca="false">F37+F38</f>
        <v>304.9442366</v>
      </c>
      <c r="G39" s="35" t="n">
        <f aca="false">G37+G38</f>
        <v>357.178178852</v>
      </c>
      <c r="H39" s="35" t="n">
        <f aca="false">H37+H38</f>
        <v>395.297964465</v>
      </c>
      <c r="I39" s="35" t="n">
        <f aca="false">I37+I38</f>
        <v>434.791751715035</v>
      </c>
      <c r="J39" s="35" t="n">
        <f aca="false">J37+J38</f>
        <v>475.355520925645</v>
      </c>
      <c r="K39" s="35" t="n">
        <f aca="false">K37+K38</f>
        <v>516.647582864075</v>
      </c>
      <c r="L39" s="35" t="n">
        <f aca="false">L37+L38</f>
        <v>558.292889807993</v>
      </c>
      <c r="M39" s="35" t="n">
        <f aca="false">M37+M38</f>
        <v>599.888415547811</v>
      </c>
    </row>
    <row r="40" customFormat="false" ht="15" hidden="false" customHeight="false" outlineLevel="0" collapsed="false">
      <c r="A40" s="5" t="s">
        <v>253</v>
      </c>
      <c r="B40" s="4"/>
      <c r="C40" s="18"/>
      <c r="D40" s="18" t="n">
        <f aca="false">-Inputs!$B$46</f>
        <v>-75.236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</row>
    <row r="41" customFormat="false" ht="15" hidden="false" customHeight="false" outlineLevel="0" collapsed="false">
      <c r="A41" s="3" t="s">
        <v>254</v>
      </c>
      <c r="B41" s="4"/>
      <c r="C41" s="35"/>
      <c r="D41" s="35" t="n">
        <f aca="false">D39+D40</f>
        <v>78.956</v>
      </c>
      <c r="E41" s="35" t="n">
        <f aca="false">E39+E40</f>
        <v>245.41416</v>
      </c>
      <c r="F41" s="35" t="n">
        <f aca="false">F39+F40</f>
        <v>304.9442366</v>
      </c>
      <c r="G41" s="35" t="n">
        <f aca="false">G39+G40</f>
        <v>357.178178852</v>
      </c>
      <c r="H41" s="35" t="n">
        <f aca="false">H39+H40</f>
        <v>395.297964465</v>
      </c>
      <c r="I41" s="35" t="n">
        <f aca="false">I39+I40</f>
        <v>434.791751715035</v>
      </c>
      <c r="J41" s="35" t="n">
        <f aca="false">J39+J40</f>
        <v>475.355520925645</v>
      </c>
      <c r="K41" s="35" t="n">
        <f aca="false">K39+K40</f>
        <v>516.647582864075</v>
      </c>
      <c r="L41" s="35" t="n">
        <f aca="false">L39+L40</f>
        <v>558.292889807993</v>
      </c>
      <c r="M41" s="35" t="n">
        <f aca="false">M39+M40</f>
        <v>599.888415547811</v>
      </c>
    </row>
    <row r="42" customFormat="false" ht="15" hidden="false" customHeight="false" outlineLevel="0" collapsed="false">
      <c r="A42" s="5" t="s">
        <v>255</v>
      </c>
      <c r="B42" s="4"/>
      <c r="C42" s="21"/>
      <c r="D42" s="21" t="n">
        <f aca="false">1/(1+Inputs!$B$71)^D8</f>
        <v>0.977889412420043</v>
      </c>
      <c r="E42" s="21" t="n">
        <f aca="false">1/(1+Inputs!$B$71)^E8</f>
        <v>0.914447919654046</v>
      </c>
      <c r="F42" s="21" t="n">
        <f aca="false">1/(1+Inputs!$B$71)^F8</f>
        <v>0.836214997759612</v>
      </c>
      <c r="G42" s="21" t="n">
        <f aca="false">1/(1+Inputs!$B$71)^G8</f>
        <v>0.76467506508479</v>
      </c>
      <c r="H42" s="21" t="n">
        <f aca="false">1/(1+Inputs!$B$71)^H8</f>
        <v>0.699255522478108</v>
      </c>
      <c r="I42" s="21" t="n">
        <f aca="false">1/(1+Inputs!$B$71)^I8</f>
        <v>0.639432757836709</v>
      </c>
      <c r="J42" s="21" t="n">
        <f aca="false">1/(1+Inputs!$B$71)^J8</f>
        <v>0.584727955162428</v>
      </c>
      <c r="K42" s="21" t="n">
        <f aca="false">1/(1+Inputs!$B$71)^K8</f>
        <v>0.534703262161847</v>
      </c>
      <c r="L42" s="21" t="n">
        <f aca="false">1/(1+Inputs!$B$71)^L8</f>
        <v>0.488958285716132</v>
      </c>
      <c r="M42" s="21" t="n">
        <f aca="false">1/(1+Inputs!$B$71)^M8</f>
        <v>0.447126887170726</v>
      </c>
    </row>
    <row r="43" customFormat="false" ht="15" hidden="false" customHeight="false" outlineLevel="0" collapsed="false">
      <c r="A43" s="5" t="s">
        <v>256</v>
      </c>
      <c r="B43" s="4"/>
      <c r="C43" s="18"/>
      <c r="D43" s="18" t="n">
        <f aca="false">D41*D42</f>
        <v>77.210236447037</v>
      </c>
      <c r="E43" s="18" t="n">
        <f aca="false">E41*E42</f>
        <v>224.418468065645</v>
      </c>
      <c r="F43" s="18" t="n">
        <f aca="false">F41*F42</f>
        <v>254.998944125276</v>
      </c>
      <c r="G43" s="18" t="n">
        <f aca="false">G41*G42</f>
        <v>273.12524716052</v>
      </c>
      <c r="H43" s="18" t="n">
        <f aca="false">H41*H42</f>
        <v>276.414284676506</v>
      </c>
      <c r="I43" s="18" t="n">
        <f aca="false">I41*I42</f>
        <v>278.020088883798</v>
      </c>
      <c r="J43" s="18" t="n">
        <f aca="false">J41*J42</f>
        <v>277.953661726023</v>
      </c>
      <c r="K43" s="18" t="n">
        <f aca="false">K41*K42</f>
        <v>276.253147945454</v>
      </c>
      <c r="L43" s="18" t="n">
        <f aca="false">L41*L42</f>
        <v>272.981934328022</v>
      </c>
      <c r="M43" s="18" t="n">
        <f aca="false">M41*M42</f>
        <v>268.226239893672</v>
      </c>
    </row>
    <row r="45" customFormat="false" ht="15" hidden="false" customHeight="false" outlineLevel="0" collapsed="false">
      <c r="A45" s="14" t="s">
        <v>257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customFormat="false" ht="15" hidden="false" customHeight="false" outlineLevel="0" collapsed="false">
      <c r="A46" s="5" t="s">
        <v>14</v>
      </c>
      <c r="D46" s="11" t="n">
        <f aca="false">Inputs!$B$71</f>
        <v>0.0935559899117276</v>
      </c>
    </row>
    <row r="47" customFormat="false" ht="15" hidden="false" customHeight="false" outlineLevel="0" collapsed="false">
      <c r="A47" s="5" t="s">
        <v>170</v>
      </c>
      <c r="D47" s="11" t="n">
        <f aca="false">Inputs!$B$72</f>
        <v>0.025</v>
      </c>
    </row>
    <row r="48" customFormat="false" ht="15" hidden="false" customHeight="false" outlineLevel="0" collapsed="false">
      <c r="A48" s="5" t="s">
        <v>258</v>
      </c>
      <c r="B48" s="4" t="s">
        <v>259</v>
      </c>
      <c r="D48" s="18" t="n">
        <f aca="false">M39*(1+D47)</f>
        <v>614.885625936506</v>
      </c>
    </row>
    <row r="49" customFormat="false" ht="15" hidden="false" customHeight="false" outlineLevel="0" collapsed="false">
      <c r="A49" s="5" t="s">
        <v>260</v>
      </c>
      <c r="D49" s="18" t="n">
        <f aca="false">D48/(D46-D47)</f>
        <v>8969.10141226507</v>
      </c>
    </row>
    <row r="50" customFormat="false" ht="15" hidden="false" customHeight="false" outlineLevel="0" collapsed="false">
      <c r="A50" s="5" t="s">
        <v>261</v>
      </c>
      <c r="B50" s="4" t="s">
        <v>262</v>
      </c>
      <c r="D50" s="32" t="n">
        <f aca="false">M8+0.5</f>
        <v>9.5</v>
      </c>
    </row>
    <row r="51" customFormat="false" ht="15" hidden="false" customHeight="false" outlineLevel="0" collapsed="false">
      <c r="A51" s="5" t="s">
        <v>255</v>
      </c>
      <c r="D51" s="21" t="n">
        <f aca="false">1/(1+D46)^D50</f>
        <v>0.427573001309958</v>
      </c>
    </row>
    <row r="52" customFormat="false" ht="15" hidden="false" customHeight="false" outlineLevel="0" collapsed="false">
      <c r="A52" s="5" t="s">
        <v>263</v>
      </c>
      <c r="D52" s="18" t="n">
        <f aca="false">D49*D51</f>
        <v>3834.94560989556</v>
      </c>
    </row>
    <row r="53" customFormat="false" ht="15" hidden="false" customHeight="false" outlineLevel="0" collapsed="false">
      <c r="A53" s="5" t="s">
        <v>264</v>
      </c>
      <c r="D53" s="18" t="n">
        <f aca="false">SUM(D43:M43)</f>
        <v>2479.60225325195</v>
      </c>
    </row>
    <row r="56" customFormat="false" ht="15" hidden="false" customHeight="false" outlineLevel="0" collapsed="false">
      <c r="A56" s="3" t="s">
        <v>265</v>
      </c>
      <c r="D56" s="36" t="n">
        <f aca="false">D52+D53</f>
        <v>6314.54786314751</v>
      </c>
    </row>
    <row r="57" customFormat="false" ht="15" hidden="false" customHeight="false" outlineLevel="0" collapsed="false">
      <c r="A57" s="5" t="s">
        <v>266</v>
      </c>
      <c r="D57" s="9" t="n">
        <f aca="false">-Inputs!$B$8</f>
        <v>-1530</v>
      </c>
    </row>
    <row r="58" customFormat="false" ht="15" hidden="false" customHeight="false" outlineLevel="0" collapsed="false">
      <c r="A58" s="5" t="s">
        <v>267</v>
      </c>
      <c r="D58" s="9" t="n">
        <f aca="false">-Inputs!$B$10</f>
        <v>-11</v>
      </c>
    </row>
    <row r="59" customFormat="false" ht="15" hidden="false" customHeight="false" outlineLevel="0" collapsed="false">
      <c r="A59" s="5" t="s">
        <v>268</v>
      </c>
      <c r="B59" s="4" t="s">
        <v>269</v>
      </c>
      <c r="D59" s="9" t="n">
        <f aca="false">-Scenarios!$B$10</f>
        <v>-250</v>
      </c>
    </row>
    <row r="60" customFormat="false" ht="15" hidden="false" customHeight="false" outlineLevel="0" collapsed="false">
      <c r="A60" s="3" t="s">
        <v>270</v>
      </c>
      <c r="D60" s="36" t="n">
        <f aca="false">SUM(D56:D59)</f>
        <v>4523.54786314751</v>
      </c>
    </row>
    <row r="61" customFormat="false" ht="15" hidden="false" customHeight="false" outlineLevel="0" collapsed="false">
      <c r="A61" s="5" t="s">
        <v>271</v>
      </c>
      <c r="D61" s="9" t="n">
        <f aca="false">Inputs!$B$6</f>
        <v>1246</v>
      </c>
    </row>
    <row r="62" customFormat="false" ht="15" hidden="false" customHeight="false" outlineLevel="0" collapsed="false">
      <c r="A62" s="3" t="s">
        <v>193</v>
      </c>
      <c r="D62" s="28" t="n">
        <f aca="false">D60/D61*100</f>
        <v>363.045574891454</v>
      </c>
    </row>
    <row r="63" customFormat="false" ht="15" hidden="false" customHeight="false" outlineLevel="0" collapsed="false">
      <c r="A63" s="5" t="s">
        <v>194</v>
      </c>
      <c r="D63" s="8" t="n">
        <f aca="false">D62/Inputs!$B$5-1</f>
        <v>-0.193232055796769</v>
      </c>
    </row>
    <row r="64" customFormat="false" ht="15" hidden="false" customHeight="false" outlineLevel="0" collapsed="false">
      <c r="A64" s="5" t="s">
        <v>272</v>
      </c>
      <c r="D64" s="24" t="n">
        <f aca="false">D52/D56</f>
        <v>0.607319113420104</v>
      </c>
    </row>
    <row r="65" customFormat="false" ht="15" hidden="false" customHeight="false" outlineLevel="0" collapsed="false">
      <c r="A65" s="5" t="s">
        <v>273</v>
      </c>
      <c r="D65" s="37" t="n">
        <f aca="false">D49/M28</f>
        <v>7.60597949478592</v>
      </c>
    </row>
    <row r="66" customFormat="false" ht="15" hidden="false" customHeight="false" outlineLevel="0" collapsed="false">
      <c r="A66" s="14" t="s">
        <v>274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5" t="s">
        <v>275</v>
      </c>
      <c r="B67" s="4" t="s">
        <v>276</v>
      </c>
      <c r="C67" s="18"/>
      <c r="D67" s="18" t="n">
        <f aca="false">D39-Inputs!$B$69*Inputs!$B$8</f>
        <v>74.0965</v>
      </c>
      <c r="E67" s="18" t="n">
        <f aca="false">E39-Inputs!$B$69*Inputs!$B$8</f>
        <v>165.31866</v>
      </c>
      <c r="F67" s="18" t="n">
        <f aca="false">F39-Inputs!$B$69*Inputs!$B$8</f>
        <v>224.8487366</v>
      </c>
      <c r="G67" s="18" t="n">
        <f aca="false">G39-Inputs!$B$69*Inputs!$B$8</f>
        <v>277.082678852</v>
      </c>
      <c r="H67" s="18" t="n">
        <f aca="false">H39-Inputs!$B$69*Inputs!$B$8</f>
        <v>315.202464465</v>
      </c>
      <c r="I67" s="18" t="n">
        <f aca="false">I39-Inputs!$B$69*Inputs!$B$8</f>
        <v>354.696251715035</v>
      </c>
      <c r="J67" s="18" t="n">
        <f aca="false">J39-Inputs!$B$69*Inputs!$B$8</f>
        <v>395.260020925645</v>
      </c>
      <c r="K67" s="18" t="n">
        <f aca="false">K39-Inputs!$B$69*Inputs!$B$8</f>
        <v>436.552082864075</v>
      </c>
      <c r="L67" s="18" t="n">
        <f aca="false">L39-Inputs!$B$69*Inputs!$B$8</f>
        <v>478.197389807993</v>
      </c>
      <c r="M67" s="18" t="n">
        <f aca="false">M39-Inputs!$B$69*Inputs!$B$8</f>
        <v>519.792915547811</v>
      </c>
    </row>
    <row r="68" customFormat="false" ht="15" hidden="false" customHeight="false" outlineLevel="0" collapsed="false">
      <c r="A68" s="5" t="s">
        <v>277</v>
      </c>
      <c r="B68" s="4"/>
      <c r="C68" s="18"/>
      <c r="D68" s="18"/>
      <c r="E68" s="18"/>
      <c r="F68" s="18"/>
      <c r="G68" s="9" t="n">
        <f aca="false">Inputs!$B$36</f>
        <v>549.6</v>
      </c>
      <c r="H68" s="18"/>
      <c r="I68" s="18"/>
      <c r="J68" s="18"/>
      <c r="K68" s="18"/>
      <c r="L68" s="18"/>
      <c r="M68" s="18"/>
    </row>
    <row r="69" customFormat="false" ht="15" hidden="false" customHeight="false" outlineLevel="0" collapsed="false">
      <c r="A69" s="5" t="s">
        <v>278</v>
      </c>
      <c r="B69" s="4"/>
      <c r="C69" s="24"/>
      <c r="D69" s="24"/>
      <c r="E69" s="24"/>
      <c r="F69" s="24"/>
      <c r="G69" s="24" t="n">
        <f aca="false">G67/G68</f>
        <v>0.504153345800582</v>
      </c>
      <c r="H69" s="24"/>
      <c r="I69" s="24"/>
      <c r="J69" s="24"/>
      <c r="K69" s="24"/>
      <c r="L69" s="24"/>
      <c r="M69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0"/>
    <col collapsed="false" customWidth="true" hidden="false" outlineLevel="0" max="13" min="3" style="0" width="9.51"/>
  </cols>
  <sheetData>
    <row r="1" customFormat="false" ht="17.35" hidden="false" customHeight="false" outlineLevel="0" collapsed="false">
      <c r="A1" s="1" t="s">
        <v>280</v>
      </c>
    </row>
    <row r="2" customFormat="false" ht="15" hidden="false" customHeight="false" outlineLevel="0" collapsed="false">
      <c r="A2" s="2" t="s">
        <v>200</v>
      </c>
    </row>
    <row r="4" customFormat="false" ht="15" hidden="false" customHeight="false" outlineLevel="0" collapsed="false">
      <c r="A4" s="12" t="s">
        <v>201</v>
      </c>
      <c r="B4" s="13" t="s">
        <v>202</v>
      </c>
      <c r="C4" s="13" t="s">
        <v>203</v>
      </c>
      <c r="D4" s="13" t="s">
        <v>204</v>
      </c>
      <c r="E4" s="13" t="s">
        <v>205</v>
      </c>
      <c r="F4" s="13" t="s">
        <v>206</v>
      </c>
      <c r="G4" s="13" t="s">
        <v>207</v>
      </c>
      <c r="H4" s="13" t="s">
        <v>208</v>
      </c>
      <c r="I4" s="13" t="s">
        <v>209</v>
      </c>
      <c r="J4" s="13" t="s">
        <v>210</v>
      </c>
      <c r="K4" s="13" t="s">
        <v>211</v>
      </c>
      <c r="L4" s="13" t="s">
        <v>212</v>
      </c>
      <c r="M4" s="13" t="s">
        <v>213</v>
      </c>
    </row>
    <row r="5" customFormat="false" ht="15" hidden="false" customHeight="false" outlineLevel="0" collapsed="false">
      <c r="A5" s="5" t="s">
        <v>214</v>
      </c>
      <c r="B5" s="4"/>
      <c r="C5" s="30" t="n">
        <v>2025</v>
      </c>
      <c r="D5" s="30" t="n">
        <v>2026</v>
      </c>
      <c r="E5" s="30" t="n">
        <v>2027</v>
      </c>
      <c r="F5" s="30" t="n">
        <v>2028</v>
      </c>
      <c r="G5" s="30" t="n">
        <v>2029</v>
      </c>
      <c r="H5" s="30" t="n">
        <v>2030</v>
      </c>
      <c r="I5" s="30" t="n">
        <v>2031</v>
      </c>
      <c r="J5" s="30" t="n">
        <v>2032</v>
      </c>
      <c r="K5" s="30" t="n">
        <v>2033</v>
      </c>
      <c r="L5" s="30" t="n">
        <v>2034</v>
      </c>
      <c r="M5" s="30" t="n">
        <v>2035</v>
      </c>
    </row>
    <row r="6" customFormat="false" ht="15" hidden="false" customHeight="false" outlineLevel="0" collapsed="false">
      <c r="A6" s="5" t="s">
        <v>215</v>
      </c>
      <c r="B6" s="4"/>
      <c r="C6" s="31"/>
      <c r="D6" s="31" t="n">
        <f aca="false">MAX(0,D5-2029)</f>
        <v>0</v>
      </c>
      <c r="E6" s="31" t="n">
        <f aca="false">MAX(0,E5-2029)</f>
        <v>0</v>
      </c>
      <c r="F6" s="31" t="n">
        <f aca="false">MAX(0,F5-2029)</f>
        <v>0</v>
      </c>
      <c r="G6" s="31" t="n">
        <f aca="false">MAX(0,G5-2029)</f>
        <v>0</v>
      </c>
      <c r="H6" s="31" t="n">
        <f aca="false">MAX(0,H5-2029)</f>
        <v>1</v>
      </c>
      <c r="I6" s="31" t="n">
        <f aca="false">MAX(0,I5-2029)</f>
        <v>2</v>
      </c>
      <c r="J6" s="31" t="n">
        <f aca="false">MAX(0,J5-2029)</f>
        <v>3</v>
      </c>
      <c r="K6" s="31" t="n">
        <f aca="false">MAX(0,K5-2029)</f>
        <v>4</v>
      </c>
      <c r="L6" s="31" t="n">
        <f aca="false">MAX(0,L5-2029)</f>
        <v>5</v>
      </c>
      <c r="M6" s="31" t="n">
        <f aca="false">MAX(0,M5-2029)</f>
        <v>6</v>
      </c>
    </row>
    <row r="7" customFormat="false" ht="15" hidden="false" customHeight="false" outlineLevel="0" collapsed="false">
      <c r="A7" s="5" t="s">
        <v>216</v>
      </c>
      <c r="B7" s="4" t="s">
        <v>217</v>
      </c>
      <c r="C7" s="24"/>
      <c r="D7" s="24" t="n">
        <f aca="false">MIN(MAX(D5-2026,0),3)/3</f>
        <v>0</v>
      </c>
      <c r="E7" s="24" t="n">
        <f aca="false">MIN(MAX(E5-2026,0),3)/3</f>
        <v>0.333333333333333</v>
      </c>
      <c r="F7" s="24" t="n">
        <f aca="false">MIN(MAX(F5-2026,0),3)/3</f>
        <v>0.666666666666667</v>
      </c>
      <c r="G7" s="24" t="n">
        <f aca="false">MIN(MAX(G5-2026,0),3)/3</f>
        <v>1</v>
      </c>
      <c r="H7" s="24" t="n">
        <f aca="false">MIN(MAX(H5-2026,0),3)/3</f>
        <v>1</v>
      </c>
      <c r="I7" s="24" t="n">
        <f aca="false">MIN(MAX(I5-2026,0),3)/3</f>
        <v>1</v>
      </c>
      <c r="J7" s="24" t="n">
        <f aca="false">MIN(MAX(J5-2026,0),3)/3</f>
        <v>1</v>
      </c>
      <c r="K7" s="24" t="n">
        <f aca="false">MIN(MAX(K5-2026,0),3)/3</f>
        <v>1</v>
      </c>
      <c r="L7" s="24" t="n">
        <f aca="false">MIN(MAX(L5-2026,0),3)/3</f>
        <v>1</v>
      </c>
      <c r="M7" s="24" t="n">
        <f aca="false">MIN(MAX(M5-2026,0),3)/3</f>
        <v>1</v>
      </c>
    </row>
    <row r="8" customFormat="false" ht="15" hidden="false" customHeight="false" outlineLevel="0" collapsed="false">
      <c r="A8" s="5" t="s">
        <v>218</v>
      </c>
      <c r="B8" s="4" t="s">
        <v>219</v>
      </c>
      <c r="C8" s="32"/>
      <c r="D8" s="20" t="n">
        <v>0.25</v>
      </c>
      <c r="E8" s="32" t="n">
        <f aca="false">E5-2026</f>
        <v>1</v>
      </c>
      <c r="F8" s="32" t="n">
        <f aca="false">F5-2026</f>
        <v>2</v>
      </c>
      <c r="G8" s="32" t="n">
        <f aca="false">G5-2026</f>
        <v>3</v>
      </c>
      <c r="H8" s="32" t="n">
        <f aca="false">H5-2026</f>
        <v>4</v>
      </c>
      <c r="I8" s="32" t="n">
        <f aca="false">I5-2026</f>
        <v>5</v>
      </c>
      <c r="J8" s="32" t="n">
        <f aca="false">J5-2026</f>
        <v>6</v>
      </c>
      <c r="K8" s="32" t="n">
        <f aca="false">K5-2026</f>
        <v>7</v>
      </c>
      <c r="L8" s="32" t="n">
        <f aca="false">L5-2026</f>
        <v>8</v>
      </c>
      <c r="M8" s="32" t="n">
        <f aca="false">M5-2026</f>
        <v>9</v>
      </c>
    </row>
    <row r="10" customFormat="false" ht="15" hidden="false" customHeight="false" outlineLevel="0" collapsed="false">
      <c r="A10" s="5" t="s">
        <v>220</v>
      </c>
      <c r="B10" s="4" t="s">
        <v>221</v>
      </c>
      <c r="C10" s="24"/>
      <c r="D10" s="24" t="n">
        <f aca="false">D11/C11-1</f>
        <v>0.0723039215686274</v>
      </c>
      <c r="E10" s="24" t="n">
        <f aca="false">Scenarios!$D$4</f>
        <v>0.1</v>
      </c>
      <c r="F10" s="24" t="n">
        <f aca="false">Scenarios!$D$4</f>
        <v>0.1</v>
      </c>
      <c r="G10" s="24" t="n">
        <f aca="false">Scenarios!$D$4</f>
        <v>0.1</v>
      </c>
      <c r="H10" s="24" t="n">
        <f aca="false">Scenarios!$D$4+(Inputs!$B$54-Scenarios!$D$4)*H6/6</f>
        <v>0.0875</v>
      </c>
      <c r="I10" s="24" t="n">
        <f aca="false">Scenarios!$D$4+(Inputs!$B$54-Scenarios!$D$4)*I6/6</f>
        <v>0.075</v>
      </c>
      <c r="J10" s="24" t="n">
        <f aca="false">Scenarios!$D$4+(Inputs!$B$54-Scenarios!$D$4)*J6/6</f>
        <v>0.0625</v>
      </c>
      <c r="K10" s="24" t="n">
        <f aca="false">Scenarios!$D$4+(Inputs!$B$54-Scenarios!$D$4)*K6/6</f>
        <v>0.05</v>
      </c>
      <c r="L10" s="24" t="n">
        <f aca="false">Scenarios!$D$4+(Inputs!$B$54-Scenarios!$D$4)*L6/6</f>
        <v>0.0375</v>
      </c>
      <c r="M10" s="24" t="n">
        <f aca="false">Scenarios!$D$4+(Inputs!$B$54-Scenarios!$D$4)*M6/6</f>
        <v>0.025</v>
      </c>
    </row>
    <row r="11" customFormat="false" ht="15" hidden="false" customHeight="false" outlineLevel="0" collapsed="false">
      <c r="A11" s="3" t="s">
        <v>76</v>
      </c>
      <c r="B11" s="4" t="s">
        <v>222</v>
      </c>
      <c r="C11" s="33" t="n">
        <v>1632</v>
      </c>
      <c r="D11" s="34" t="n">
        <f aca="false">Inputs!$B$20</f>
        <v>1750</v>
      </c>
      <c r="E11" s="35" t="n">
        <f aca="false">D11*(1+E10)</f>
        <v>1925</v>
      </c>
      <c r="F11" s="35" t="n">
        <f aca="false">E11*(1+F10)</f>
        <v>2117.5</v>
      </c>
      <c r="G11" s="35" t="n">
        <f aca="false">F11*(1+G10)</f>
        <v>2329.25</v>
      </c>
      <c r="H11" s="35" t="n">
        <f aca="false">G11*(1+H10)</f>
        <v>2533.059375</v>
      </c>
      <c r="I11" s="35" t="n">
        <f aca="false">H11*(1+I10)</f>
        <v>2723.038828125</v>
      </c>
      <c r="J11" s="35" t="n">
        <f aca="false">I11*(1+J10)</f>
        <v>2893.22875488281</v>
      </c>
      <c r="K11" s="35" t="n">
        <f aca="false">J11*(1+K10)</f>
        <v>3037.89019262695</v>
      </c>
      <c r="L11" s="35" t="n">
        <f aca="false">K11*(1+L10)</f>
        <v>3151.81107485046</v>
      </c>
      <c r="M11" s="35" t="n">
        <f aca="false">L11*(1+M10)</f>
        <v>3230.60635172173</v>
      </c>
    </row>
    <row r="12" customFormat="false" ht="15" hidden="false" customHeight="false" outlineLevel="0" collapsed="false">
      <c r="A12" s="5" t="s">
        <v>223</v>
      </c>
      <c r="B12" s="4" t="s">
        <v>221</v>
      </c>
      <c r="C12" s="24"/>
      <c r="D12" s="24" t="n">
        <f aca="false">D13/C13-1</f>
        <v>0.0730710270822688</v>
      </c>
      <c r="E12" s="24" t="n">
        <f aca="false">Scenarios!$D$6</f>
        <v>0.065</v>
      </c>
      <c r="F12" s="24" t="n">
        <f aca="false">Scenarios!$D$6</f>
        <v>0.065</v>
      </c>
      <c r="G12" s="24" t="n">
        <f aca="false">Scenarios!$D$6</f>
        <v>0.065</v>
      </c>
      <c r="H12" s="24" t="n">
        <f aca="false">Scenarios!$D$6+(Inputs!$B$54-Scenarios!$D$6)*H6/6</f>
        <v>0.0583333333333333</v>
      </c>
      <c r="I12" s="24" t="n">
        <f aca="false">Scenarios!$D$6+(Inputs!$B$54-Scenarios!$D$6)*I6/6</f>
        <v>0.0516666666666667</v>
      </c>
      <c r="J12" s="24" t="n">
        <f aca="false">Scenarios!$D$6+(Inputs!$B$54-Scenarios!$D$6)*J6/6</f>
        <v>0.045</v>
      </c>
      <c r="K12" s="24" t="n">
        <f aca="false">Scenarios!$D$6+(Inputs!$B$54-Scenarios!$D$6)*K6/6</f>
        <v>0.0383333333333333</v>
      </c>
      <c r="L12" s="24" t="n">
        <f aca="false">Scenarios!$D$6+(Inputs!$B$54-Scenarios!$D$6)*L6/6</f>
        <v>0.0316666666666667</v>
      </c>
      <c r="M12" s="24" t="n">
        <f aca="false">Scenarios!$D$6+(Inputs!$B$54-Scenarios!$D$6)*M6/6</f>
        <v>0.025</v>
      </c>
    </row>
    <row r="13" customFormat="false" ht="15" hidden="false" customHeight="false" outlineLevel="0" collapsed="false">
      <c r="A13" s="5" t="s">
        <v>224</v>
      </c>
      <c r="B13" s="4" t="s">
        <v>225</v>
      </c>
      <c r="C13" s="17" t="n">
        <v>1957</v>
      </c>
      <c r="D13" s="9" t="n">
        <f aca="false">Inputs!$B$22</f>
        <v>2100</v>
      </c>
      <c r="E13" s="18" t="n">
        <f aca="false">D13*(1+E12)</f>
        <v>2236.5</v>
      </c>
      <c r="F13" s="18" t="n">
        <f aca="false">E13*(1+F12)</f>
        <v>2381.8725</v>
      </c>
      <c r="G13" s="18" t="n">
        <f aca="false">F13*(1+G12)</f>
        <v>2536.6942125</v>
      </c>
      <c r="H13" s="18" t="n">
        <f aca="false">G13*(1+H12)</f>
        <v>2684.6680415625</v>
      </c>
      <c r="I13" s="18" t="n">
        <f aca="false">H13*(1+I12)</f>
        <v>2823.37589037656</v>
      </c>
      <c r="J13" s="18" t="n">
        <f aca="false">I13*(1+J12)</f>
        <v>2950.42780544351</v>
      </c>
      <c r="K13" s="18" t="n">
        <f aca="false">J13*(1+K12)</f>
        <v>3063.52753798551</v>
      </c>
      <c r="L13" s="18" t="n">
        <f aca="false">K13*(1+L12)</f>
        <v>3160.53924335505</v>
      </c>
      <c r="M13" s="18" t="n">
        <f aca="false">L13*(1+M12)</f>
        <v>3239.55272443893</v>
      </c>
    </row>
    <row r="14" customFormat="false" ht="15" hidden="false" customHeight="false" outlineLevel="0" collapsed="false">
      <c r="A14" s="5" t="s">
        <v>226</v>
      </c>
      <c r="B14" s="4" t="s">
        <v>227</v>
      </c>
      <c r="C14" s="18" t="n">
        <v>0</v>
      </c>
      <c r="D14" s="9" t="n">
        <f aca="false">-Inputs!$B$38</f>
        <v>-46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</row>
    <row r="15" customFormat="false" ht="15" hidden="false" customHeight="false" outlineLevel="0" collapsed="false">
      <c r="A15" s="3" t="s">
        <v>228</v>
      </c>
      <c r="B15" s="4"/>
      <c r="C15" s="35" t="n">
        <f aca="false">C11+C13+C14</f>
        <v>3589</v>
      </c>
      <c r="D15" s="35" t="n">
        <f aca="false">D11+D13+D14</f>
        <v>3804</v>
      </c>
      <c r="E15" s="35" t="n">
        <f aca="false">E11+E13+E14</f>
        <v>4161.5</v>
      </c>
      <c r="F15" s="35" t="n">
        <f aca="false">F11+F13+F14</f>
        <v>4499.3725</v>
      </c>
      <c r="G15" s="35" t="n">
        <f aca="false">G11+G13+G14</f>
        <v>4865.9442125</v>
      </c>
      <c r="H15" s="35" t="n">
        <f aca="false">H11+H13+H14</f>
        <v>5217.7274165625</v>
      </c>
      <c r="I15" s="35" t="n">
        <f aca="false">I11+I13+I14</f>
        <v>5546.41471850156</v>
      </c>
      <c r="J15" s="35" t="n">
        <f aca="false">J11+J13+J14</f>
        <v>5843.65656032632</v>
      </c>
      <c r="K15" s="35" t="n">
        <f aca="false">K11+K13+K14</f>
        <v>6101.41773061246</v>
      </c>
      <c r="L15" s="35" t="n">
        <f aca="false">L11+L13+L14</f>
        <v>6312.35031820552</v>
      </c>
      <c r="M15" s="35" t="n">
        <f aca="false">M11+M13+M14</f>
        <v>6470.15907616065</v>
      </c>
    </row>
    <row r="16" customFormat="false" ht="15" hidden="false" customHeight="false" outlineLevel="0" collapsed="false">
      <c r="A16" s="5" t="s">
        <v>229</v>
      </c>
      <c r="B16" s="4"/>
      <c r="C16" s="24"/>
      <c r="D16" s="24" t="n">
        <f aca="false">D15/C15-1</f>
        <v>0.059905266090833</v>
      </c>
      <c r="E16" s="24" t="n">
        <f aca="false">E15/D15-1</f>
        <v>0.0939800210304942</v>
      </c>
      <c r="F16" s="24" t="n">
        <f aca="false">F15/E15-1</f>
        <v>0.0811900756938604</v>
      </c>
      <c r="G16" s="24" t="n">
        <f aca="false">G15/F15-1</f>
        <v>0.0814717413372643</v>
      </c>
      <c r="H16" s="24" t="n">
        <f aca="false">H15/G15-1</f>
        <v>0.072294952161353</v>
      </c>
      <c r="I16" s="24" t="n">
        <f aca="false">I15/H15-1</f>
        <v>0.0629943413478671</v>
      </c>
      <c r="J16" s="24" t="n">
        <f aca="false">J15/I15-1</f>
        <v>0.0535917086822282</v>
      </c>
      <c r="K16" s="24" t="n">
        <f aca="false">K15/J15-1</f>
        <v>0.0441095686622193</v>
      </c>
      <c r="L16" s="24" t="n">
        <f aca="false">L15/K15-1</f>
        <v>0.0345710778881352</v>
      </c>
      <c r="M16" s="24" t="n">
        <f aca="false">M15/L15-1</f>
        <v>0.0249999999999997</v>
      </c>
    </row>
    <row r="18" customFormat="false" ht="15" hidden="false" customHeight="false" outlineLevel="0" collapsed="false">
      <c r="A18" s="5" t="s">
        <v>230</v>
      </c>
      <c r="B18" s="4" t="s">
        <v>231</v>
      </c>
      <c r="C18" s="24" t="n">
        <f aca="false">C19/C11</f>
        <v>0.318627450980392</v>
      </c>
      <c r="D18" s="24" t="n">
        <f aca="false">Inputs!$B$21/Inputs!$B$20</f>
        <v>0.331428571428571</v>
      </c>
      <c r="E18" s="24" t="n">
        <f aca="false">$D18+(Scenarios!$D$5-$D18)*E7</f>
        <v>0.344285714285714</v>
      </c>
      <c r="F18" s="24" t="n">
        <f aca="false">$D18+(Scenarios!$D$5-$D18)*F7</f>
        <v>0.357142857142857</v>
      </c>
      <c r="G18" s="24" t="n">
        <f aca="false">$D18+(Scenarios!$D$5-$D18)*G7</f>
        <v>0.37</v>
      </c>
      <c r="H18" s="24" t="n">
        <f aca="false">$D18+(Scenarios!$D$5-$D18)*H7</f>
        <v>0.37</v>
      </c>
      <c r="I18" s="24" t="n">
        <f aca="false">$D18+(Scenarios!$D$5-$D18)*I7</f>
        <v>0.37</v>
      </c>
      <c r="J18" s="24" t="n">
        <f aca="false">$D18+(Scenarios!$D$5-$D18)*J7</f>
        <v>0.37</v>
      </c>
      <c r="K18" s="24" t="n">
        <f aca="false">$D18+(Scenarios!$D$5-$D18)*K7</f>
        <v>0.37</v>
      </c>
      <c r="L18" s="24" t="n">
        <f aca="false">$D18+(Scenarios!$D$5-$D18)*L7</f>
        <v>0.37</v>
      </c>
      <c r="M18" s="24" t="n">
        <f aca="false">$D18+(Scenarios!$D$5-$D18)*M7</f>
        <v>0.37</v>
      </c>
    </row>
    <row r="19" customFormat="false" ht="15" hidden="false" customHeight="false" outlineLevel="0" collapsed="false">
      <c r="A19" s="5" t="s">
        <v>78</v>
      </c>
      <c r="B19" s="4"/>
      <c r="C19" s="17" t="n">
        <v>520</v>
      </c>
      <c r="D19" s="18" t="n">
        <f aca="false">D11*D18</f>
        <v>580</v>
      </c>
      <c r="E19" s="18" t="n">
        <f aca="false">E11*E18</f>
        <v>662.75</v>
      </c>
      <c r="F19" s="18" t="n">
        <f aca="false">F11*F18</f>
        <v>756.25</v>
      </c>
      <c r="G19" s="18" t="n">
        <f aca="false">G11*G18</f>
        <v>861.8225</v>
      </c>
      <c r="H19" s="18" t="n">
        <f aca="false">H11*H18</f>
        <v>937.23196875</v>
      </c>
      <c r="I19" s="18" t="n">
        <f aca="false">I11*I18</f>
        <v>1007.52436640625</v>
      </c>
      <c r="J19" s="18" t="n">
        <f aca="false">J11*J18</f>
        <v>1070.49463930664</v>
      </c>
      <c r="K19" s="18" t="n">
        <f aca="false">K11*K18</f>
        <v>1124.01937127197</v>
      </c>
      <c r="L19" s="18" t="n">
        <f aca="false">L11*L18</f>
        <v>1166.17009769467</v>
      </c>
      <c r="M19" s="18" t="n">
        <f aca="false">M11*M18</f>
        <v>1195.32435013704</v>
      </c>
    </row>
    <row r="20" customFormat="false" ht="15" hidden="false" customHeight="false" outlineLevel="0" collapsed="false">
      <c r="A20" s="5" t="s">
        <v>232</v>
      </c>
      <c r="B20" s="4" t="s">
        <v>231</v>
      </c>
      <c r="C20" s="24" t="n">
        <f aca="false">C21/C13</f>
        <v>0.0797138477261114</v>
      </c>
      <c r="D20" s="24" t="n">
        <f aca="false">Inputs!$B$23/Inputs!$B$22</f>
        <v>0.0857142857142857</v>
      </c>
      <c r="E20" s="24" t="n">
        <f aca="false">$D20+(Scenarios!$D$7-$D20)*E7</f>
        <v>0.0988095238095238</v>
      </c>
      <c r="F20" s="24" t="n">
        <f aca="false">$D20+(Scenarios!$D$7-$D20)*F7</f>
        <v>0.111904761904762</v>
      </c>
      <c r="G20" s="24" t="n">
        <f aca="false">$D20+(Scenarios!$D$7-$D20)*G7</f>
        <v>0.125</v>
      </c>
      <c r="H20" s="24" t="n">
        <f aca="false">$D20+(Scenarios!$D$7-$D20)*H7</f>
        <v>0.125</v>
      </c>
      <c r="I20" s="24" t="n">
        <f aca="false">$D20+(Scenarios!$D$7-$D20)*I7</f>
        <v>0.125</v>
      </c>
      <c r="J20" s="24" t="n">
        <f aca="false">$D20+(Scenarios!$D$7-$D20)*J7</f>
        <v>0.125</v>
      </c>
      <c r="K20" s="24" t="n">
        <f aca="false">$D20+(Scenarios!$D$7-$D20)*K7</f>
        <v>0.125</v>
      </c>
      <c r="L20" s="24" t="n">
        <f aca="false">$D20+(Scenarios!$D$7-$D20)*L7</f>
        <v>0.125</v>
      </c>
      <c r="M20" s="24" t="n">
        <f aca="false">$D20+(Scenarios!$D$7-$D20)*M7</f>
        <v>0.125</v>
      </c>
    </row>
    <row r="21" customFormat="false" ht="15" hidden="false" customHeight="false" outlineLevel="0" collapsed="false">
      <c r="A21" s="5" t="s">
        <v>82</v>
      </c>
      <c r="B21" s="4"/>
      <c r="C21" s="17" t="n">
        <v>156</v>
      </c>
      <c r="D21" s="18" t="n">
        <f aca="false">D13*D20</f>
        <v>180</v>
      </c>
      <c r="E21" s="18" t="n">
        <f aca="false">E13*E20</f>
        <v>220.9875</v>
      </c>
      <c r="F21" s="18" t="n">
        <f aca="false">F13*F20</f>
        <v>266.542875</v>
      </c>
      <c r="G21" s="18" t="n">
        <f aca="false">G13*G20</f>
        <v>317.0867765625</v>
      </c>
      <c r="H21" s="18" t="n">
        <f aca="false">H13*H20</f>
        <v>335.583505195312</v>
      </c>
      <c r="I21" s="18" t="n">
        <f aca="false">I13*I20</f>
        <v>352.92198629707</v>
      </c>
      <c r="J21" s="18" t="n">
        <f aca="false">J13*J20</f>
        <v>368.803475680438</v>
      </c>
      <c r="K21" s="18" t="n">
        <f aca="false">K13*K20</f>
        <v>382.940942248189</v>
      </c>
      <c r="L21" s="18" t="n">
        <f aca="false">L13*L20</f>
        <v>395.067405419381</v>
      </c>
      <c r="M21" s="18" t="n">
        <f aca="false">M13*M20</f>
        <v>404.944090554866</v>
      </c>
    </row>
    <row r="22" customFormat="false" ht="15" hidden="false" customHeight="false" outlineLevel="0" collapsed="false">
      <c r="A22" s="5" t="s">
        <v>233</v>
      </c>
      <c r="B22" s="4" t="s">
        <v>227</v>
      </c>
      <c r="C22" s="18" t="n">
        <v>0</v>
      </c>
      <c r="D22" s="9" t="n">
        <f aca="false">-Inputs!$B$39</f>
        <v>-39</v>
      </c>
      <c r="E22" s="18" t="n">
        <v>0</v>
      </c>
      <c r="F22" s="18" t="n">
        <v>0</v>
      </c>
      <c r="G22" s="18" t="n">
        <v>0</v>
      </c>
      <c r="H22" s="18" t="n">
        <v>0</v>
      </c>
      <c r="I22" s="18" t="n">
        <v>0</v>
      </c>
      <c r="J22" s="18" t="n">
        <v>0</v>
      </c>
      <c r="K22" s="18" t="n">
        <v>0</v>
      </c>
      <c r="L22" s="18" t="n">
        <v>0</v>
      </c>
      <c r="M22" s="18" t="n">
        <v>0</v>
      </c>
    </row>
    <row r="23" customFormat="false" ht="15" hidden="false" customHeight="false" outlineLevel="0" collapsed="false">
      <c r="A23" s="5" t="s">
        <v>234</v>
      </c>
      <c r="B23" s="4" t="s">
        <v>235</v>
      </c>
      <c r="C23" s="17" t="n">
        <v>-29</v>
      </c>
      <c r="D23" s="9" t="n">
        <f aca="false">-Inputs!$B$27</f>
        <v>-35</v>
      </c>
      <c r="E23" s="18" t="n">
        <f aca="false">D23*(1+Inputs!$B$52)</f>
        <v>-36.05</v>
      </c>
      <c r="F23" s="18" t="n">
        <f aca="false">E23*(1+Inputs!$B$52)</f>
        <v>-37.1315</v>
      </c>
      <c r="G23" s="18" t="n">
        <f aca="false">F23*(1+Inputs!$B$52)</f>
        <v>-38.245445</v>
      </c>
      <c r="H23" s="18" t="n">
        <f aca="false">G23*(1+Inputs!$B$52)</f>
        <v>-39.39280835</v>
      </c>
      <c r="I23" s="18" t="n">
        <f aca="false">H23*(1+Inputs!$B$52)</f>
        <v>-40.5745926005</v>
      </c>
      <c r="J23" s="18" t="n">
        <f aca="false">I23*(1+Inputs!$B$52)</f>
        <v>-41.791830378515</v>
      </c>
      <c r="K23" s="18" t="n">
        <f aca="false">J23*(1+Inputs!$B$52)</f>
        <v>-43.0455852898705</v>
      </c>
      <c r="L23" s="18" t="n">
        <f aca="false">K23*(1+Inputs!$B$52)</f>
        <v>-44.3369528485666</v>
      </c>
      <c r="M23" s="18" t="n">
        <f aca="false">L23*(1+Inputs!$B$52)</f>
        <v>-45.6670614340236</v>
      </c>
    </row>
    <row r="24" customFormat="false" ht="15" hidden="false" customHeight="false" outlineLevel="0" collapsed="false">
      <c r="A24" s="3" t="s">
        <v>84</v>
      </c>
      <c r="B24" s="4"/>
      <c r="C24" s="35" t="n">
        <f aca="false">C19+C21+C22+C23</f>
        <v>647</v>
      </c>
      <c r="D24" s="35" t="n">
        <f aca="false">D19+D21+D22+D23</f>
        <v>686</v>
      </c>
      <c r="E24" s="35" t="n">
        <f aca="false">E19+E21+E22+E23</f>
        <v>847.6875</v>
      </c>
      <c r="F24" s="35" t="n">
        <f aca="false">F19+F21+F22+F23</f>
        <v>985.661375</v>
      </c>
      <c r="G24" s="35" t="n">
        <f aca="false">G19+G21+G22+G23</f>
        <v>1140.6638315625</v>
      </c>
      <c r="H24" s="35" t="n">
        <f aca="false">H19+H21+H22+H23</f>
        <v>1233.42266559531</v>
      </c>
      <c r="I24" s="35" t="n">
        <f aca="false">I19+I21+I22+I23</f>
        <v>1319.87176010282</v>
      </c>
      <c r="J24" s="35" t="n">
        <f aca="false">J19+J21+J22+J23</f>
        <v>1397.50628460856</v>
      </c>
      <c r="K24" s="35" t="n">
        <f aca="false">K19+K21+K22+K23</f>
        <v>1463.91472823029</v>
      </c>
      <c r="L24" s="35" t="n">
        <f aca="false">L19+L21+L22+L23</f>
        <v>1516.90055026549</v>
      </c>
      <c r="M24" s="35" t="n">
        <f aca="false">M19+M21+M22+M23</f>
        <v>1554.60137925788</v>
      </c>
    </row>
    <row r="25" customFormat="false" ht="15" hidden="false" customHeight="false" outlineLevel="0" collapsed="false">
      <c r="A25" s="5" t="s">
        <v>236</v>
      </c>
      <c r="B25" s="4"/>
      <c r="C25" s="24" t="n">
        <f aca="false">C24/C15</f>
        <v>0.180273056561716</v>
      </c>
      <c r="D25" s="24" t="n">
        <f aca="false">D24/D15</f>
        <v>0.180336487907466</v>
      </c>
      <c r="E25" s="24" t="n">
        <f aca="false">E24/E15</f>
        <v>0.203697585005407</v>
      </c>
      <c r="F25" s="24" t="n">
        <f aca="false">F24/F15</f>
        <v>0.219066408704769</v>
      </c>
      <c r="G25" s="24" t="n">
        <f aca="false">G24/G15</f>
        <v>0.234417778286952</v>
      </c>
      <c r="H25" s="24" t="n">
        <f aca="false">H24/H15</f>
        <v>0.236390782255142</v>
      </c>
      <c r="I25" s="24" t="n">
        <f aca="false">I24/I15</f>
        <v>0.237968458380877</v>
      </c>
      <c r="J25" s="24" t="n">
        <f aca="false">J24/J15</f>
        <v>0.239149284387535</v>
      </c>
      <c r="K25" s="24" t="n">
        <f aca="false">K24/K15</f>
        <v>0.239930257665433</v>
      </c>
      <c r="L25" s="24" t="n">
        <f aca="false">L24/L15</f>
        <v>0.240306775416215</v>
      </c>
      <c r="M25" s="24" t="n">
        <f aca="false">M24/M15</f>
        <v>0.240272512771103</v>
      </c>
    </row>
    <row r="27" customFormat="false" ht="15" hidden="false" customHeight="false" outlineLevel="0" collapsed="false">
      <c r="A27" s="5" t="s">
        <v>123</v>
      </c>
      <c r="B27" s="4"/>
      <c r="C27" s="17" t="n">
        <v>138</v>
      </c>
      <c r="D27" s="18" t="n">
        <f aca="false">Inputs!$B$48*D15</f>
        <v>144.552</v>
      </c>
      <c r="E27" s="18" t="n">
        <f aca="false">Inputs!$B$48*E15</f>
        <v>158.137</v>
      </c>
      <c r="F27" s="18" t="n">
        <f aca="false">Inputs!$B$48*F15</f>
        <v>170.976155</v>
      </c>
      <c r="G27" s="18" t="n">
        <f aca="false">Inputs!$B$48*G15</f>
        <v>184.905880075</v>
      </c>
      <c r="H27" s="18" t="n">
        <f aca="false">Inputs!$B$48*H15</f>
        <v>198.273641829375</v>
      </c>
      <c r="I27" s="18" t="n">
        <f aca="false">Inputs!$B$48*I15</f>
        <v>210.763759303059</v>
      </c>
      <c r="J27" s="18" t="n">
        <f aca="false">Inputs!$B$48*J15</f>
        <v>222.0589492924</v>
      </c>
      <c r="K27" s="18" t="n">
        <f aca="false">Inputs!$B$48*K15</f>
        <v>231.853873763274</v>
      </c>
      <c r="L27" s="18" t="n">
        <f aca="false">Inputs!$B$48*L15</f>
        <v>239.86931209181</v>
      </c>
      <c r="M27" s="18" t="n">
        <f aca="false">Inputs!$B$48*M15</f>
        <v>245.866044894105</v>
      </c>
    </row>
    <row r="28" customFormat="false" ht="15" hidden="false" customHeight="false" outlineLevel="0" collapsed="false">
      <c r="A28" s="3" t="s">
        <v>237</v>
      </c>
      <c r="B28" s="4"/>
      <c r="C28" s="35" t="n">
        <f aca="false">C24+C27</f>
        <v>785</v>
      </c>
      <c r="D28" s="35" t="n">
        <f aca="false">D24+D27</f>
        <v>830.552</v>
      </c>
      <c r="E28" s="35" t="n">
        <f aca="false">E24+E27</f>
        <v>1005.8245</v>
      </c>
      <c r="F28" s="35" t="n">
        <f aca="false">F24+F27</f>
        <v>1156.63753</v>
      </c>
      <c r="G28" s="35" t="n">
        <f aca="false">G24+G27</f>
        <v>1325.5697116375</v>
      </c>
      <c r="H28" s="35" t="n">
        <f aca="false">H24+H27</f>
        <v>1431.69630742469</v>
      </c>
      <c r="I28" s="35" t="n">
        <f aca="false">I24+I27</f>
        <v>1530.63551940588</v>
      </c>
      <c r="J28" s="35" t="n">
        <f aca="false">J24+J27</f>
        <v>1619.56523390096</v>
      </c>
      <c r="K28" s="35" t="n">
        <f aca="false">K24+K27</f>
        <v>1695.76860199356</v>
      </c>
      <c r="L28" s="35" t="n">
        <f aca="false">L24+L27</f>
        <v>1756.7698623573</v>
      </c>
      <c r="M28" s="35" t="n">
        <f aca="false">M24+M27</f>
        <v>1800.46742415199</v>
      </c>
    </row>
    <row r="29" customFormat="false" ht="15" hidden="false" customHeight="false" outlineLevel="0" collapsed="false">
      <c r="A29" s="5" t="s">
        <v>128</v>
      </c>
      <c r="B29" s="4"/>
      <c r="C29" s="17" t="n">
        <v>-31</v>
      </c>
      <c r="D29" s="18" t="n">
        <f aca="false">-Inputs!$B$50*D15</f>
        <v>-34.236</v>
      </c>
      <c r="E29" s="18" t="n">
        <f aca="false">-Inputs!$B$50*E15</f>
        <v>-37.4535</v>
      </c>
      <c r="F29" s="18" t="n">
        <f aca="false">-Inputs!$B$50*F15</f>
        <v>-40.4943525</v>
      </c>
      <c r="G29" s="18" t="n">
        <f aca="false">-Inputs!$B$50*G15</f>
        <v>-43.7934979125</v>
      </c>
      <c r="H29" s="18" t="n">
        <f aca="false">-Inputs!$B$50*H15</f>
        <v>-46.9595467490625</v>
      </c>
      <c r="I29" s="18" t="n">
        <f aca="false">-Inputs!$B$50*I15</f>
        <v>-49.9177324665141</v>
      </c>
      <c r="J29" s="18" t="n">
        <f aca="false">-Inputs!$B$50*J15</f>
        <v>-52.5929090429369</v>
      </c>
      <c r="K29" s="18" t="n">
        <f aca="false">-Inputs!$B$50*K15</f>
        <v>-54.9127595755122</v>
      </c>
      <c r="L29" s="18" t="n">
        <f aca="false">-Inputs!$B$50*L15</f>
        <v>-56.8111528638496</v>
      </c>
      <c r="M29" s="18" t="n">
        <f aca="false">-Inputs!$B$50*M15</f>
        <v>-58.2314316854459</v>
      </c>
    </row>
    <row r="30" customFormat="false" ht="15" hidden="false" customHeight="false" outlineLevel="0" collapsed="false">
      <c r="A30" s="5" t="s">
        <v>126</v>
      </c>
      <c r="B30" s="4"/>
      <c r="C30" s="17" t="n">
        <v>-94</v>
      </c>
      <c r="D30" s="18" t="n">
        <f aca="false">-Inputs!$B$49*D15</f>
        <v>-114.12</v>
      </c>
      <c r="E30" s="18" t="n">
        <f aca="false">-Inputs!$B$49*E15</f>
        <v>-124.845</v>
      </c>
      <c r="F30" s="18" t="n">
        <f aca="false">-Inputs!$B$49*F15</f>
        <v>-134.981175</v>
      </c>
      <c r="G30" s="18" t="n">
        <f aca="false">-Inputs!$B$49*G15</f>
        <v>-145.978326375</v>
      </c>
      <c r="H30" s="18" t="n">
        <f aca="false">-Inputs!$B$49*H15</f>
        <v>-156.531822496875</v>
      </c>
      <c r="I30" s="18" t="n">
        <f aca="false">-Inputs!$B$49*I15</f>
        <v>-166.392441555047</v>
      </c>
      <c r="J30" s="18" t="n">
        <f aca="false">-Inputs!$B$49*J15</f>
        <v>-175.30969680979</v>
      </c>
      <c r="K30" s="18" t="n">
        <f aca="false">-Inputs!$B$49*K15</f>
        <v>-183.042531918374</v>
      </c>
      <c r="L30" s="18" t="n">
        <f aca="false">-Inputs!$B$49*L15</f>
        <v>-189.370509546165</v>
      </c>
      <c r="M30" s="18" t="n">
        <f aca="false">-Inputs!$B$49*M15</f>
        <v>-194.10477228482</v>
      </c>
    </row>
    <row r="31" customFormat="false" ht="15" hidden="false" customHeight="false" outlineLevel="0" collapsed="false">
      <c r="A31" s="5" t="s">
        <v>238</v>
      </c>
      <c r="B31" s="4" t="s">
        <v>239</v>
      </c>
      <c r="C31" s="17" t="n">
        <v>33</v>
      </c>
      <c r="D31" s="18" t="n">
        <f aca="false">-Inputs!$B$51*(D15-C15)</f>
        <v>-21.5</v>
      </c>
      <c r="E31" s="18" t="n">
        <f aca="false">-Inputs!$B$51*(E15-D15)</f>
        <v>-35.75</v>
      </c>
      <c r="F31" s="18" t="n">
        <f aca="false">-Inputs!$B$51*(F15-E15)</f>
        <v>-33.78725</v>
      </c>
      <c r="G31" s="18" t="n">
        <f aca="false">-Inputs!$B$51*(G15-F15)</f>
        <v>-36.65717125</v>
      </c>
      <c r="H31" s="18" t="n">
        <f aca="false">-Inputs!$B$51*(H15-G15)</f>
        <v>-35.17832040625</v>
      </c>
      <c r="I31" s="18" t="n">
        <f aca="false">-Inputs!$B$51*(I15-H15)</f>
        <v>-32.8687301939062</v>
      </c>
      <c r="J31" s="18" t="n">
        <f aca="false">-Inputs!$B$51*(J15-I15)</f>
        <v>-29.7241841824758</v>
      </c>
      <c r="K31" s="18" t="n">
        <f aca="false">-Inputs!$B$51*(K15-J15)</f>
        <v>-25.7761170286141</v>
      </c>
      <c r="L31" s="18" t="n">
        <f aca="false">-Inputs!$B$51*(L15-K15)</f>
        <v>-21.0932587593053</v>
      </c>
      <c r="M31" s="18" t="n">
        <f aca="false">-Inputs!$B$51*(M15-L15)</f>
        <v>-15.7808757955137</v>
      </c>
    </row>
    <row r="32" customFormat="false" ht="15" hidden="false" customHeight="false" outlineLevel="0" collapsed="false">
      <c r="A32" s="5" t="s">
        <v>240</v>
      </c>
      <c r="B32" s="4" t="s">
        <v>241</v>
      </c>
      <c r="C32" s="24" t="n">
        <f aca="false">-C33/C11</f>
        <v>0.198529411764706</v>
      </c>
      <c r="D32" s="24" t="n">
        <f aca="false">Inputs!$B$25/Inputs!$B$20</f>
        <v>0.205714285714286</v>
      </c>
      <c r="E32" s="24" t="n">
        <f aca="false">$D32+(Scenarios!$D$8-$D32)*E7</f>
        <v>0.167142857142857</v>
      </c>
      <c r="F32" s="24" t="n">
        <f aca="false">$D32+(Scenarios!$D$8-$D32)*F7</f>
        <v>0.128571428571429</v>
      </c>
      <c r="G32" s="24" t="n">
        <f aca="false">$D32+(Scenarios!$D$8-$D32)*G7</f>
        <v>0.09</v>
      </c>
      <c r="H32" s="24" t="n">
        <f aca="false">$G$32+(Scenarios!$D$9-$G$32)*H6/6</f>
        <v>0.0791666666666667</v>
      </c>
      <c r="I32" s="24" t="n">
        <f aca="false">$G$32+(Scenarios!$D$9-$G$32)*I6/6</f>
        <v>0.0683333333333333</v>
      </c>
      <c r="J32" s="24" t="n">
        <f aca="false">$G$32+(Scenarios!$D$9-$G$32)*J6/6</f>
        <v>0.0575</v>
      </c>
      <c r="K32" s="24" t="n">
        <f aca="false">$G$32+(Scenarios!$D$9-$G$32)*K6/6</f>
        <v>0.0466666666666667</v>
      </c>
      <c r="L32" s="24" t="n">
        <f aca="false">$G$32+(Scenarios!$D$9-$G$32)*L6/6</f>
        <v>0.0358333333333333</v>
      </c>
      <c r="M32" s="24" t="n">
        <f aca="false">$G$32+(Scenarios!$D$9-$G$32)*M6/6</f>
        <v>0.025</v>
      </c>
    </row>
    <row r="33" customFormat="false" ht="15" hidden="false" customHeight="false" outlineLevel="0" collapsed="false">
      <c r="A33" s="5" t="s">
        <v>242</v>
      </c>
      <c r="B33" s="4" t="s">
        <v>243</v>
      </c>
      <c r="C33" s="17" t="n">
        <v>-324</v>
      </c>
      <c r="D33" s="18" t="n">
        <f aca="false">-D32*D11</f>
        <v>-360</v>
      </c>
      <c r="E33" s="18" t="n">
        <f aca="false">-E32*E11</f>
        <v>-321.75</v>
      </c>
      <c r="F33" s="18" t="n">
        <f aca="false">-F32*F11</f>
        <v>-272.25</v>
      </c>
      <c r="G33" s="18" t="n">
        <f aca="false">-G32*G11</f>
        <v>-209.6325</v>
      </c>
      <c r="H33" s="18" t="n">
        <f aca="false">-H32*H11</f>
        <v>-200.5338671875</v>
      </c>
      <c r="I33" s="18" t="n">
        <f aca="false">-I32*I11</f>
        <v>-186.074319921875</v>
      </c>
      <c r="J33" s="18" t="n">
        <f aca="false">-J32*J11</f>
        <v>-166.360653405762</v>
      </c>
      <c r="K33" s="18" t="n">
        <f aca="false">-K32*K11</f>
        <v>-141.768208989258</v>
      </c>
      <c r="L33" s="18" t="n">
        <f aca="false">-L32*L11</f>
        <v>-112.939896848808</v>
      </c>
      <c r="M33" s="18" t="n">
        <f aca="false">-M32*M11</f>
        <v>-80.7651587930431</v>
      </c>
    </row>
    <row r="34" customFormat="false" ht="15" hidden="false" customHeight="false" outlineLevel="0" collapsed="false">
      <c r="A34" s="5" t="s">
        <v>244</v>
      </c>
      <c r="B34" s="4"/>
      <c r="C34" s="17" t="n">
        <v>-68</v>
      </c>
      <c r="D34" s="9" t="n">
        <f aca="false">-Inputs!$B$56</f>
        <v>-50</v>
      </c>
      <c r="E34" s="9" t="n">
        <f aca="false">-Inputs!$B$57</f>
        <v>-30</v>
      </c>
      <c r="F34" s="9" t="n">
        <f aca="false">-Inputs!$B$58</f>
        <v>-15</v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</row>
    <row r="35" customFormat="false" ht="15" hidden="false" customHeight="false" outlineLevel="0" collapsed="false">
      <c r="A35" s="5" t="s">
        <v>245</v>
      </c>
      <c r="B35" s="4"/>
      <c r="C35" s="17" t="n">
        <v>-22</v>
      </c>
      <c r="D35" s="18" t="n">
        <f aca="false">-Inputs!$B$53</f>
        <v>-5</v>
      </c>
      <c r="E35" s="18" t="n">
        <f aca="false">-Inputs!$B$53</f>
        <v>-5</v>
      </c>
      <c r="F35" s="18" t="n">
        <f aca="false">-Inputs!$B$53</f>
        <v>-5</v>
      </c>
      <c r="G35" s="18" t="n">
        <f aca="false">-Inputs!$B$53</f>
        <v>-5</v>
      </c>
      <c r="H35" s="18" t="n">
        <f aca="false">-Inputs!$B$53</f>
        <v>-5</v>
      </c>
      <c r="I35" s="18" t="n">
        <f aca="false">-Inputs!$B$53</f>
        <v>-5</v>
      </c>
      <c r="J35" s="18" t="n">
        <f aca="false">-Inputs!$B$53</f>
        <v>-5</v>
      </c>
      <c r="K35" s="18" t="n">
        <f aca="false">-Inputs!$B$53</f>
        <v>-5</v>
      </c>
      <c r="L35" s="18" t="n">
        <f aca="false">-Inputs!$B$53</f>
        <v>-5</v>
      </c>
      <c r="M35" s="18" t="n">
        <f aca="false">-Inputs!$B$53</f>
        <v>-5</v>
      </c>
    </row>
    <row r="36" customFormat="false" ht="15" hidden="false" customHeight="false" outlineLevel="0" collapsed="false">
      <c r="A36" s="5" t="s">
        <v>246</v>
      </c>
      <c r="B36" s="4" t="s">
        <v>247</v>
      </c>
      <c r="C36" s="17" t="n">
        <v>-27</v>
      </c>
      <c r="D36" s="9" t="n">
        <f aca="false">-Inputs!$B$59</f>
        <v>-25</v>
      </c>
      <c r="E36" s="9" t="n">
        <f aca="false">-Inputs!$B$60</f>
        <v>-15</v>
      </c>
      <c r="F36" s="9" t="n">
        <f aca="false">-Inputs!$B$61</f>
        <v>-5</v>
      </c>
      <c r="G36" s="18" t="n">
        <v>0</v>
      </c>
      <c r="H36" s="18" t="n">
        <v>0</v>
      </c>
      <c r="I36" s="18" t="n">
        <v>0</v>
      </c>
      <c r="J36" s="18" t="n">
        <v>0</v>
      </c>
      <c r="K36" s="18" t="n">
        <v>0</v>
      </c>
      <c r="L36" s="18" t="n">
        <v>0</v>
      </c>
      <c r="M36" s="18" t="n">
        <v>0</v>
      </c>
    </row>
    <row r="37" customFormat="false" ht="15" hidden="false" customHeight="false" outlineLevel="0" collapsed="false">
      <c r="A37" s="3" t="s">
        <v>248</v>
      </c>
      <c r="B37" s="4" t="s">
        <v>249</v>
      </c>
      <c r="C37" s="35" t="n">
        <f aca="false">C24+C27+C29+C30+C31+C33+C34+C35+C36</f>
        <v>252</v>
      </c>
      <c r="D37" s="35" t="n">
        <f aca="false">D24+D27+D29+D30+D31+D33+D34+D35+D36</f>
        <v>220.696</v>
      </c>
      <c r="E37" s="35" t="n">
        <f aca="false">E24+E27+E29+E30+E31+E33+E34+E35+E36</f>
        <v>436.026</v>
      </c>
      <c r="F37" s="35" t="n">
        <f aca="false">F24+F27+F29+F30+F31+F33+F34+F35+F36</f>
        <v>650.1247525</v>
      </c>
      <c r="G37" s="35" t="n">
        <f aca="false">G24+G27+G29+G30+G31+G33+G34+G35+G36</f>
        <v>884.5082161</v>
      </c>
      <c r="H37" s="35" t="n">
        <f aca="false">H24+H27+H29+H30+H31+H33+H34+H35+H36</f>
        <v>987.492750585</v>
      </c>
      <c r="I37" s="35" t="n">
        <f aca="false">I24+I27+I29+I30+I31+I33+I34+I35+I36</f>
        <v>1090.38229526854</v>
      </c>
      <c r="J37" s="35" t="n">
        <f aca="false">J24+J27+J29+J30+J31+J33+J34+J35+J36</f>
        <v>1190.57779046</v>
      </c>
      <c r="K37" s="35" t="n">
        <f aca="false">K24+K27+K29+K30+K31+K33+K34+K35+K36</f>
        <v>1285.26898448181</v>
      </c>
      <c r="L37" s="35" t="n">
        <f aca="false">L24+L27+L29+L30+L31+L33+L34+L35+L36</f>
        <v>1371.55504433917</v>
      </c>
      <c r="M37" s="35" t="n">
        <f aca="false">M24+M27+M29+M30+M31+M33+M34+M35+M36</f>
        <v>1446.58518559316</v>
      </c>
    </row>
    <row r="38" customFormat="false" ht="15" hidden="false" customHeight="false" outlineLevel="0" collapsed="false">
      <c r="A38" s="5" t="s">
        <v>250</v>
      </c>
      <c r="B38" s="4" t="s">
        <v>251</v>
      </c>
      <c r="C38" s="18"/>
      <c r="D38" s="18" t="n">
        <f aca="false">-Inputs!$B$55*MAX(0,D24+D33)</f>
        <v>-66.504</v>
      </c>
      <c r="E38" s="18" t="n">
        <f aca="false">-Inputs!$B$55*MAX(0,E24+E33)</f>
        <v>-107.29125</v>
      </c>
      <c r="F38" s="18" t="n">
        <f aca="false">-Inputs!$B$55*MAX(0,F24+F33)</f>
        <v>-145.5359205</v>
      </c>
      <c r="G38" s="18" t="n">
        <f aca="false">-Inputs!$B$55*MAX(0,G24+G33)</f>
        <v>-189.93039163875</v>
      </c>
      <c r="H38" s="18" t="n">
        <f aca="false">-Inputs!$B$55*MAX(0,H24+H33)</f>
        <v>-210.709314875194</v>
      </c>
      <c r="I38" s="18" t="n">
        <f aca="false">-Inputs!$B$55*MAX(0,I24+I33)</f>
        <v>-231.294677796913</v>
      </c>
      <c r="J38" s="18" t="n">
        <f aca="false">-Inputs!$B$55*MAX(0,J24+J33)</f>
        <v>-251.153708765372</v>
      </c>
      <c r="K38" s="18" t="n">
        <f aca="false">-Inputs!$B$55*MAX(0,K24+K33)</f>
        <v>-269.717889925171</v>
      </c>
      <c r="L38" s="18" t="n">
        <f aca="false">-Inputs!$B$55*MAX(0,L24+L33)</f>
        <v>-286.407973297002</v>
      </c>
      <c r="M38" s="18" t="n">
        <f aca="false">-Inputs!$B$55*MAX(0,M24+M33)</f>
        <v>-300.662588974827</v>
      </c>
    </row>
    <row r="39" customFormat="false" ht="15" hidden="false" customHeight="false" outlineLevel="0" collapsed="false">
      <c r="A39" s="3" t="s">
        <v>252</v>
      </c>
      <c r="B39" s="4"/>
      <c r="C39" s="35"/>
      <c r="D39" s="35" t="n">
        <f aca="false">D37+D38</f>
        <v>154.192</v>
      </c>
      <c r="E39" s="35" t="n">
        <f aca="false">E37+E38</f>
        <v>328.73475</v>
      </c>
      <c r="F39" s="35" t="n">
        <f aca="false">F37+F38</f>
        <v>504.588832</v>
      </c>
      <c r="G39" s="35" t="n">
        <f aca="false">G37+G38</f>
        <v>694.57782446125</v>
      </c>
      <c r="H39" s="35" t="n">
        <f aca="false">H37+H38</f>
        <v>776.783435709806</v>
      </c>
      <c r="I39" s="35" t="n">
        <f aca="false">I37+I38</f>
        <v>859.087617471625</v>
      </c>
      <c r="J39" s="35" t="n">
        <f aca="false">J37+J38</f>
        <v>939.424081694629</v>
      </c>
      <c r="K39" s="35" t="n">
        <f aca="false">K37+K38</f>
        <v>1015.55109455664</v>
      </c>
      <c r="L39" s="35" t="n">
        <f aca="false">L37+L38</f>
        <v>1085.14707104217</v>
      </c>
      <c r="M39" s="35" t="n">
        <f aca="false">M37+M38</f>
        <v>1145.92259661834</v>
      </c>
    </row>
    <row r="40" customFormat="false" ht="15" hidden="false" customHeight="false" outlineLevel="0" collapsed="false">
      <c r="A40" s="5" t="s">
        <v>253</v>
      </c>
      <c r="B40" s="4"/>
      <c r="C40" s="18"/>
      <c r="D40" s="18" t="n">
        <f aca="false">-Inputs!$B$46</f>
        <v>-75.236</v>
      </c>
      <c r="E40" s="18" t="n">
        <v>0</v>
      </c>
      <c r="F40" s="18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18" t="n">
        <v>0</v>
      </c>
      <c r="L40" s="18" t="n">
        <v>0</v>
      </c>
      <c r="M40" s="18" t="n">
        <v>0</v>
      </c>
    </row>
    <row r="41" customFormat="false" ht="15" hidden="false" customHeight="false" outlineLevel="0" collapsed="false">
      <c r="A41" s="3" t="s">
        <v>254</v>
      </c>
      <c r="B41" s="4"/>
      <c r="C41" s="35"/>
      <c r="D41" s="35" t="n">
        <f aca="false">D39+D40</f>
        <v>78.956</v>
      </c>
      <c r="E41" s="35" t="n">
        <f aca="false">E39+E40</f>
        <v>328.73475</v>
      </c>
      <c r="F41" s="35" t="n">
        <f aca="false">F39+F40</f>
        <v>504.588832</v>
      </c>
      <c r="G41" s="35" t="n">
        <f aca="false">G39+G40</f>
        <v>694.57782446125</v>
      </c>
      <c r="H41" s="35" t="n">
        <f aca="false">H39+H40</f>
        <v>776.783435709806</v>
      </c>
      <c r="I41" s="35" t="n">
        <f aca="false">I39+I40</f>
        <v>859.087617471625</v>
      </c>
      <c r="J41" s="35" t="n">
        <f aca="false">J39+J40</f>
        <v>939.424081694629</v>
      </c>
      <c r="K41" s="35" t="n">
        <f aca="false">K39+K40</f>
        <v>1015.55109455664</v>
      </c>
      <c r="L41" s="35" t="n">
        <f aca="false">L39+L40</f>
        <v>1085.14707104217</v>
      </c>
      <c r="M41" s="35" t="n">
        <f aca="false">M39+M40</f>
        <v>1145.92259661834</v>
      </c>
    </row>
    <row r="42" customFormat="false" ht="15" hidden="false" customHeight="false" outlineLevel="0" collapsed="false">
      <c r="A42" s="5" t="s">
        <v>255</v>
      </c>
      <c r="B42" s="4"/>
      <c r="C42" s="21"/>
      <c r="D42" s="21" t="n">
        <f aca="false">1/(1+Inputs!$B$71)^D8</f>
        <v>0.977889412420043</v>
      </c>
      <c r="E42" s="21" t="n">
        <f aca="false">1/(1+Inputs!$B$71)^E8</f>
        <v>0.914447919654046</v>
      </c>
      <c r="F42" s="21" t="n">
        <f aca="false">1/(1+Inputs!$B$71)^F8</f>
        <v>0.836214997759612</v>
      </c>
      <c r="G42" s="21" t="n">
        <f aca="false">1/(1+Inputs!$B$71)^G8</f>
        <v>0.76467506508479</v>
      </c>
      <c r="H42" s="21" t="n">
        <f aca="false">1/(1+Inputs!$B$71)^H8</f>
        <v>0.699255522478108</v>
      </c>
      <c r="I42" s="21" t="n">
        <f aca="false">1/(1+Inputs!$B$71)^I8</f>
        <v>0.639432757836709</v>
      </c>
      <c r="J42" s="21" t="n">
        <f aca="false">1/(1+Inputs!$B$71)^J8</f>
        <v>0.584727955162428</v>
      </c>
      <c r="K42" s="21" t="n">
        <f aca="false">1/(1+Inputs!$B$71)^K8</f>
        <v>0.534703262161847</v>
      </c>
      <c r="L42" s="21" t="n">
        <f aca="false">1/(1+Inputs!$B$71)^L8</f>
        <v>0.488958285716132</v>
      </c>
      <c r="M42" s="21" t="n">
        <f aca="false">1/(1+Inputs!$B$71)^M8</f>
        <v>0.447126887170726</v>
      </c>
    </row>
    <row r="43" customFormat="false" ht="15" hidden="false" customHeight="false" outlineLevel="0" collapsed="false">
      <c r="A43" s="5" t="s">
        <v>256</v>
      </c>
      <c r="B43" s="4"/>
      <c r="C43" s="18"/>
      <c r="D43" s="18" t="n">
        <f aca="false">D41*D42</f>
        <v>77.210236447037</v>
      </c>
      <c r="E43" s="18" t="n">
        <f aca="false">E41*E42</f>
        <v>300.610808255493</v>
      </c>
      <c r="F43" s="18" t="n">
        <f aca="false">F41*F42</f>
        <v>421.944749020405</v>
      </c>
      <c r="G43" s="18" t="n">
        <f aca="false">G41*G42</f>
        <v>531.126343126359</v>
      </c>
      <c r="H43" s="18" t="n">
        <f aca="false">H41*H42</f>
        <v>543.170107189601</v>
      </c>
      <c r="I43" s="18" t="n">
        <f aca="false">I41*I42</f>
        <v>549.328764463249</v>
      </c>
      <c r="J43" s="18" t="n">
        <f aca="false">J41*J42</f>
        <v>549.307522319642</v>
      </c>
      <c r="K43" s="18" t="n">
        <f aca="false">K41*K42</f>
        <v>543.018483151467</v>
      </c>
      <c r="L43" s="18" t="n">
        <f aca="false">L41*L42</f>
        <v>530.591651606659</v>
      </c>
      <c r="M43" s="18" t="n">
        <f aca="false">M41*M42</f>
        <v>512.372803564552</v>
      </c>
    </row>
    <row r="45" customFormat="false" ht="15" hidden="false" customHeight="false" outlineLevel="0" collapsed="false">
      <c r="A45" s="14" t="s">
        <v>257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customFormat="false" ht="15" hidden="false" customHeight="false" outlineLevel="0" collapsed="false">
      <c r="A46" s="5" t="s">
        <v>14</v>
      </c>
      <c r="D46" s="11" t="n">
        <f aca="false">Inputs!$B$71</f>
        <v>0.0935559899117276</v>
      </c>
    </row>
    <row r="47" customFormat="false" ht="15" hidden="false" customHeight="false" outlineLevel="0" collapsed="false">
      <c r="A47" s="5" t="s">
        <v>170</v>
      </c>
      <c r="D47" s="11" t="n">
        <f aca="false">Inputs!$B$72</f>
        <v>0.025</v>
      </c>
    </row>
    <row r="48" customFormat="false" ht="15" hidden="false" customHeight="false" outlineLevel="0" collapsed="false">
      <c r="A48" s="5" t="s">
        <v>258</v>
      </c>
      <c r="B48" s="4" t="s">
        <v>259</v>
      </c>
      <c r="D48" s="18" t="n">
        <f aca="false">M39*(1+D47)</f>
        <v>1174.5706615338</v>
      </c>
    </row>
    <row r="49" customFormat="false" ht="15" hidden="false" customHeight="false" outlineLevel="0" collapsed="false">
      <c r="A49" s="5" t="s">
        <v>260</v>
      </c>
      <c r="D49" s="18" t="n">
        <f aca="false">D48/(D46-D47)</f>
        <v>17133.0129292301</v>
      </c>
    </row>
    <row r="50" customFormat="false" ht="15" hidden="false" customHeight="false" outlineLevel="0" collapsed="false">
      <c r="A50" s="5" t="s">
        <v>261</v>
      </c>
      <c r="B50" s="4" t="s">
        <v>262</v>
      </c>
      <c r="D50" s="32" t="n">
        <f aca="false">M8+0.5</f>
        <v>9.5</v>
      </c>
    </row>
    <row r="51" customFormat="false" ht="15" hidden="false" customHeight="false" outlineLevel="0" collapsed="false">
      <c r="A51" s="5" t="s">
        <v>255</v>
      </c>
      <c r="D51" s="21" t="n">
        <f aca="false">1/(1+D46)^D50</f>
        <v>0.427573001309958</v>
      </c>
    </row>
    <row r="52" customFormat="false" ht="15" hidden="false" customHeight="false" outlineLevel="0" collapsed="false">
      <c r="A52" s="5" t="s">
        <v>263</v>
      </c>
      <c r="D52" s="18" t="n">
        <f aca="false">D49*D51</f>
        <v>7325.61375963322</v>
      </c>
    </row>
    <row r="53" customFormat="false" ht="15" hidden="false" customHeight="false" outlineLevel="0" collapsed="false">
      <c r="A53" s="5" t="s">
        <v>264</v>
      </c>
      <c r="D53" s="18" t="n">
        <f aca="false">SUM(D43:M43)</f>
        <v>4558.68146914446</v>
      </c>
    </row>
    <row r="56" customFormat="false" ht="15" hidden="false" customHeight="false" outlineLevel="0" collapsed="false">
      <c r="A56" s="3" t="s">
        <v>265</v>
      </c>
      <c r="D56" s="36" t="n">
        <f aca="false">D52+D53</f>
        <v>11884.2952287777</v>
      </c>
    </row>
    <row r="57" customFormat="false" ht="15" hidden="false" customHeight="false" outlineLevel="0" collapsed="false">
      <c r="A57" s="5" t="s">
        <v>266</v>
      </c>
      <c r="D57" s="9" t="n">
        <f aca="false">-Inputs!$B$8</f>
        <v>-1530</v>
      </c>
    </row>
    <row r="58" customFormat="false" ht="15" hidden="false" customHeight="false" outlineLevel="0" collapsed="false">
      <c r="A58" s="5" t="s">
        <v>267</v>
      </c>
      <c r="D58" s="9" t="n">
        <f aca="false">-Inputs!$B$10</f>
        <v>-11</v>
      </c>
    </row>
    <row r="59" customFormat="false" ht="15" hidden="false" customHeight="false" outlineLevel="0" collapsed="false">
      <c r="A59" s="5" t="s">
        <v>268</v>
      </c>
      <c r="B59" s="4" t="s">
        <v>269</v>
      </c>
      <c r="D59" s="9" t="n">
        <f aca="false">-Scenarios!$D$10</f>
        <v>-60</v>
      </c>
    </row>
    <row r="60" customFormat="false" ht="15" hidden="false" customHeight="false" outlineLevel="0" collapsed="false">
      <c r="A60" s="3" t="s">
        <v>270</v>
      </c>
      <c r="D60" s="36" t="n">
        <f aca="false">SUM(D56:D59)</f>
        <v>10283.2952287777</v>
      </c>
    </row>
    <row r="61" customFormat="false" ht="15" hidden="false" customHeight="false" outlineLevel="0" collapsed="false">
      <c r="A61" s="5" t="s">
        <v>271</v>
      </c>
      <c r="D61" s="9" t="n">
        <f aca="false">Inputs!$B$6</f>
        <v>1246</v>
      </c>
    </row>
    <row r="62" customFormat="false" ht="15" hidden="false" customHeight="false" outlineLevel="0" collapsed="false">
      <c r="A62" s="3" t="s">
        <v>193</v>
      </c>
      <c r="D62" s="28" t="n">
        <f aca="false">D60/D61*100</f>
        <v>825.304592999814</v>
      </c>
    </row>
    <row r="63" customFormat="false" ht="15" hidden="false" customHeight="false" outlineLevel="0" collapsed="false">
      <c r="A63" s="5" t="s">
        <v>194</v>
      </c>
      <c r="D63" s="8" t="n">
        <f aca="false">D62/Inputs!$B$5-1</f>
        <v>0.834010206666254</v>
      </c>
    </row>
    <row r="64" customFormat="false" ht="15" hidden="false" customHeight="false" outlineLevel="0" collapsed="false">
      <c r="A64" s="5" t="s">
        <v>272</v>
      </c>
      <c r="D64" s="24" t="n">
        <f aca="false">D52/D56</f>
        <v>0.616411290582409</v>
      </c>
    </row>
    <row r="65" customFormat="false" ht="15" hidden="false" customHeight="false" outlineLevel="0" collapsed="false">
      <c r="A65" s="5" t="s">
        <v>273</v>
      </c>
      <c r="D65" s="37" t="n">
        <f aca="false">D49/M28</f>
        <v>9.5158694344607</v>
      </c>
    </row>
    <row r="66" customFormat="false" ht="15" hidden="false" customHeight="false" outlineLevel="0" collapsed="false">
      <c r="A66" s="14" t="s">
        <v>274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customFormat="false" ht="15" hidden="false" customHeight="false" outlineLevel="0" collapsed="false">
      <c r="A67" s="5" t="s">
        <v>275</v>
      </c>
      <c r="B67" s="4" t="s">
        <v>276</v>
      </c>
      <c r="C67" s="18"/>
      <c r="D67" s="18" t="n">
        <f aca="false">D39-Inputs!$B$69*Inputs!$B$8</f>
        <v>74.0965</v>
      </c>
      <c r="E67" s="18" t="n">
        <f aca="false">E39-Inputs!$B$69*Inputs!$B$8</f>
        <v>248.63925</v>
      </c>
      <c r="F67" s="18" t="n">
        <f aca="false">F39-Inputs!$B$69*Inputs!$B$8</f>
        <v>424.493332</v>
      </c>
      <c r="G67" s="18" t="n">
        <f aca="false">G39-Inputs!$B$69*Inputs!$B$8</f>
        <v>614.48232446125</v>
      </c>
      <c r="H67" s="18" t="n">
        <f aca="false">H39-Inputs!$B$69*Inputs!$B$8</f>
        <v>696.687935709806</v>
      </c>
      <c r="I67" s="18" t="n">
        <f aca="false">I39-Inputs!$B$69*Inputs!$B$8</f>
        <v>778.992117471625</v>
      </c>
      <c r="J67" s="18" t="n">
        <f aca="false">J39-Inputs!$B$69*Inputs!$B$8</f>
        <v>859.328581694629</v>
      </c>
      <c r="K67" s="18" t="n">
        <f aca="false">K39-Inputs!$B$69*Inputs!$B$8</f>
        <v>935.455594556636</v>
      </c>
      <c r="L67" s="18" t="n">
        <f aca="false">L39-Inputs!$B$69*Inputs!$B$8</f>
        <v>1005.05157104216</v>
      </c>
      <c r="M67" s="18" t="n">
        <f aca="false">M39-Inputs!$B$69*Inputs!$B$8</f>
        <v>1065.82709661834</v>
      </c>
    </row>
    <row r="68" customFormat="false" ht="15" hidden="false" customHeight="false" outlineLevel="0" collapsed="false">
      <c r="A68" s="5" t="s">
        <v>277</v>
      </c>
      <c r="B68" s="4"/>
      <c r="C68" s="18"/>
      <c r="D68" s="18"/>
      <c r="E68" s="18"/>
      <c r="F68" s="18"/>
      <c r="G68" s="9" t="n">
        <f aca="false">Inputs!$B$36</f>
        <v>549.6</v>
      </c>
      <c r="H68" s="18"/>
      <c r="I68" s="18"/>
      <c r="J68" s="18"/>
      <c r="K68" s="18"/>
      <c r="L68" s="18"/>
      <c r="M68" s="18"/>
    </row>
    <row r="69" customFormat="false" ht="15" hidden="false" customHeight="false" outlineLevel="0" collapsed="false">
      <c r="A69" s="5" t="s">
        <v>278</v>
      </c>
      <c r="B69" s="4"/>
      <c r="C69" s="24"/>
      <c r="D69" s="24"/>
      <c r="E69" s="24"/>
      <c r="F69" s="24"/>
      <c r="G69" s="24" t="n">
        <f aca="false">G67/G68</f>
        <v>1.11805371990766</v>
      </c>
      <c r="H69" s="24"/>
      <c r="I69" s="24"/>
      <c r="J69" s="24"/>
      <c r="K69" s="24"/>
      <c r="L69" s="24"/>
      <c r="M69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281</v>
      </c>
    </row>
    <row r="2" customFormat="false" ht="15" hidden="false" customHeight="false" outlineLevel="0" collapsed="false">
      <c r="A2" s="2" t="s">
        <v>282</v>
      </c>
    </row>
    <row r="4" customFormat="false" ht="15" hidden="false" customHeight="false" outlineLevel="0" collapsed="false">
      <c r="A4" s="3" t="s">
        <v>283</v>
      </c>
      <c r="B4" s="38" t="n">
        <v>0.015</v>
      </c>
      <c r="C4" s="38" t="n">
        <v>0.02</v>
      </c>
      <c r="D4" s="38" t="n">
        <v>0.025</v>
      </c>
      <c r="E4" s="38" t="n">
        <v>0.03</v>
      </c>
      <c r="F4" s="38" t="n">
        <v>0.035</v>
      </c>
    </row>
    <row r="5" customFormat="false" ht="15" hidden="false" customHeight="false" outlineLevel="0" collapsed="false">
      <c r="A5" s="39" t="n">
        <f aca="false">Inputs!$B$71+(-0.01)</f>
        <v>0.0835559899117276</v>
      </c>
      <c r="B5" s="40" t="n">
        <f aca="false">(SUMPRODUCT(DCF_Base!$D$41:$M$41/(1+$A5)^DCF_Base!$D$8:$M$8)+DCF_Base!$M$39*(1+B$4)/($A5-B$4)/(1+$A5)^DCF_Base!$D$50-Inputs!$B$8-Inputs!$B$10-Scenarios!$C$10)/Inputs!$B$6*100</f>
        <v>674.697058191452</v>
      </c>
      <c r="C5" s="40" t="n">
        <f aca="false">(SUMPRODUCT(DCF_Base!$D$41:$M$41/(1+$A5)^DCF_Base!$D$8:$M$8)+DCF_Base!$M$39*(1+C$4)/($A5-C$4)/(1+$A5)^DCF_Base!$D$50-Inputs!$B$8-Inputs!$B$10-Scenarios!$C$10)/Inputs!$B$6*100</f>
        <v>716.47158229464</v>
      </c>
      <c r="D5" s="40" t="n">
        <f aca="false">(SUMPRODUCT(DCF_Base!$D$41:$M$41/(1+$A5)^DCF_Base!$D$8:$M$8)+DCF_Base!$M$39*(1+D$4)/($A5-D$4)/(1+$A5)^DCF_Base!$D$50-Inputs!$B$8-Inputs!$B$10-Scenarios!$C$10)/Inputs!$B$6*100</f>
        <v>765.380222679724</v>
      </c>
      <c r="E5" s="40" t="n">
        <f aca="false">(SUMPRODUCT(DCF_Base!$D$41:$M$41/(1+$A5)^DCF_Base!$D$8:$M$8)+DCF_Base!$M$39*(1+E$4)/($A5-E$4)/(1+$A5)^DCF_Base!$D$50-Inputs!$B$8-Inputs!$B$10-Scenarios!$C$10)/Inputs!$B$6*100</f>
        <v>823.421107742892</v>
      </c>
      <c r="F5" s="40" t="n">
        <f aca="false">(SUMPRODUCT(DCF_Base!$D$41:$M$41/(1+$A5)^DCF_Base!$D$8:$M$8)+DCF_Base!$M$39*(1+F$4)/($A5-F$4)/(1+$A5)^DCF_Base!$D$50-Inputs!$B$8-Inputs!$B$10-Scenarios!$C$10)/Inputs!$B$6*100</f>
        <v>893.415386232635</v>
      </c>
    </row>
    <row r="6" customFormat="false" ht="15" hidden="false" customHeight="false" outlineLevel="0" collapsed="false">
      <c r="A6" s="39" t="n">
        <f aca="false">Inputs!$B$71+(-0.005)</f>
        <v>0.0885559899117276</v>
      </c>
      <c r="B6" s="40" t="n">
        <f aca="false">(SUMPRODUCT(DCF_Base!$D$41:$M$41/(1+$A6)^DCF_Base!$D$8:$M$8)+DCF_Base!$M$39*(1+B$4)/($A6-B$4)/(1+$A6)^DCF_Base!$D$50-Inputs!$B$8-Inputs!$B$10-Scenarios!$C$10)/Inputs!$B$6*100</f>
        <v>613.806512518362</v>
      </c>
      <c r="C6" s="40" t="n">
        <f aca="false">(SUMPRODUCT(DCF_Base!$D$41:$M$41/(1+$A6)^DCF_Base!$D$8:$M$8)+DCF_Base!$M$39*(1+C$4)/($A6-C$4)/(1+$A6)^DCF_Base!$D$50-Inputs!$B$8-Inputs!$B$10-Scenarios!$C$10)/Inputs!$B$6*100</f>
        <v>648.516537762848</v>
      </c>
      <c r="D6" s="40" t="n">
        <f aca="false">(SUMPRODUCT(DCF_Base!$D$41:$M$41/(1+$A6)^DCF_Base!$D$8:$M$8)+DCF_Base!$M$39*(1+D$4)/($A6-D$4)/(1+$A6)^DCF_Base!$D$50-Inputs!$B$8-Inputs!$B$10-Scenarios!$C$10)/Inputs!$B$6*100</f>
        <v>688.687893291495</v>
      </c>
      <c r="E6" s="40" t="n">
        <f aca="false">(SUMPRODUCT(DCF_Base!$D$41:$M$41/(1+$A6)^DCF_Base!$D$8:$M$8)+DCF_Base!$M$39*(1+E$4)/($A6-E$4)/(1+$A6)^DCF_Base!$D$50-Inputs!$B$8-Inputs!$B$10-Scenarios!$C$10)/Inputs!$B$6*100</f>
        <v>735.719581228358</v>
      </c>
      <c r="F6" s="40" t="n">
        <f aca="false">(SUMPRODUCT(DCF_Base!$D$41:$M$41/(1+$A6)^DCF_Base!$D$8:$M$8)+DCF_Base!$M$39*(1+F$4)/($A6-F$4)/(1+$A6)^DCF_Base!$D$50-Inputs!$B$8-Inputs!$B$10-Scenarios!$C$10)/Inputs!$B$6*100</f>
        <v>791.533048386252</v>
      </c>
    </row>
    <row r="7" customFormat="false" ht="15" hidden="false" customHeight="false" outlineLevel="0" collapsed="false">
      <c r="A7" s="39" t="n">
        <f aca="false">Inputs!$B$71+(0)</f>
        <v>0.0935559899117276</v>
      </c>
      <c r="B7" s="40" t="n">
        <f aca="false">(SUMPRODUCT(DCF_Base!$D$41:$M$41/(1+$A7)^DCF_Base!$D$8:$M$8)+DCF_Base!$M$39*(1+B$4)/($A7-B$4)/(1+$A7)^DCF_Base!$D$50-Inputs!$B$8-Inputs!$B$10-Scenarios!$C$10)/Inputs!$B$6*100</f>
        <v>560.861186969914</v>
      </c>
      <c r="C7" s="40" t="n">
        <f aca="false">(SUMPRODUCT(DCF_Base!$D$41:$M$41/(1+$A7)^DCF_Base!$D$8:$M$8)+DCF_Base!$M$39*(1+C$4)/($A7-C$4)/(1+$A7)^DCF_Base!$D$50-Inputs!$B$8-Inputs!$B$10-Scenarios!$C$10)/Inputs!$B$6*100</f>
        <v>589.995440101934</v>
      </c>
      <c r="D7" s="40" t="n">
        <f aca="false">(SUMPRODUCT(DCF_Base!$D$41:$M$41/(1+$A7)^DCF_Base!$D$8:$M$8)+DCF_Base!$M$39*(1+D$4)/($A7-D$4)/(1+$A7)^DCF_Base!$D$50-Inputs!$B$8-Inputs!$B$10-Scenarios!$C$10)/Inputs!$B$6*100</f>
        <v>623.379395290555</v>
      </c>
      <c r="E7" s="40" t="n">
        <f aca="false">(SUMPRODUCT(DCF_Base!$D$41:$M$41/(1+$A7)^DCF_Base!$D$8:$M$8)+DCF_Base!$M$39*(1+E$4)/($A7-E$4)/(1+$A7)^DCF_Base!$D$50-Inputs!$B$8-Inputs!$B$10-Scenarios!$C$10)/Inputs!$B$6*100</f>
        <v>662.01603480287</v>
      </c>
      <c r="F7" s="40" t="n">
        <f aca="false">(SUMPRODUCT(DCF_Base!$D$41:$M$41/(1+$A7)^DCF_Base!$D$8:$M$8)+DCF_Base!$M$39*(1+F$4)/($A7-F$4)/(1+$A7)^DCF_Base!$D$50-Inputs!$B$8-Inputs!$B$10-Scenarios!$C$10)/Inputs!$B$6*100</f>
        <v>707.250912953207</v>
      </c>
    </row>
    <row r="8" customFormat="false" ht="15" hidden="false" customHeight="false" outlineLevel="0" collapsed="false">
      <c r="A8" s="39" t="n">
        <f aca="false">Inputs!$B$71+(0.005)</f>
        <v>0.0985559899117276</v>
      </c>
      <c r="B8" s="40" t="n">
        <f aca="false">(SUMPRODUCT(DCF_Base!$D$41:$M$41/(1+$A8)^DCF_Base!$D$8:$M$8)+DCF_Base!$M$39*(1+B$4)/($A8-B$4)/(1+$A8)^DCF_Base!$D$50-Inputs!$B$8-Inputs!$B$10-Scenarios!$C$10)/Inputs!$B$6*100</f>
        <v>514.426074416264</v>
      </c>
      <c r="C8" s="40" t="n">
        <f aca="false">(SUMPRODUCT(DCF_Base!$D$41:$M$41/(1+$A8)^DCF_Base!$D$8:$M$8)+DCF_Base!$M$39*(1+C$4)/($A8-C$4)/(1+$A8)^DCF_Base!$D$50-Inputs!$B$8-Inputs!$B$10-Scenarios!$C$10)/Inputs!$B$6*100</f>
        <v>539.098075606156</v>
      </c>
      <c r="D8" s="40" t="n">
        <f aca="false">(SUMPRODUCT(DCF_Base!$D$41:$M$41/(1+$A8)^DCF_Base!$D$8:$M$8)+DCF_Base!$M$39*(1+D$4)/($A8-D$4)/(1+$A8)^DCF_Base!$D$50-Inputs!$B$8-Inputs!$B$10-Scenarios!$C$10)/Inputs!$B$6*100</f>
        <v>567.124256546671</v>
      </c>
      <c r="E8" s="40" t="n">
        <f aca="false">(SUMPRODUCT(DCF_Base!$D$41:$M$41/(1+$A8)^DCF_Base!$D$8:$M$8)+DCF_Base!$M$39*(1+E$4)/($A8-E$4)/(1+$A8)^DCF_Base!$D$50-Inputs!$B$8-Inputs!$B$10-Scenarios!$C$10)/Inputs!$B$6*100</f>
        <v>599.238509291939</v>
      </c>
      <c r="F8" s="40" t="n">
        <f aca="false">(SUMPRODUCT(DCF_Base!$D$41:$M$41/(1+$A8)^DCF_Base!$D$8:$M$8)+DCF_Base!$M$39*(1+F$4)/($A8-F$4)/(1+$A8)^DCF_Base!$D$50-Inputs!$B$8-Inputs!$B$10-Scenarios!$C$10)/Inputs!$B$6*100</f>
        <v>636.405669369761</v>
      </c>
    </row>
    <row r="9" customFormat="false" ht="15" hidden="false" customHeight="false" outlineLevel="0" collapsed="false">
      <c r="A9" s="39" t="n">
        <f aca="false">Inputs!$B$71+(0.01)</f>
        <v>0.103555989911728</v>
      </c>
      <c r="B9" s="40" t="n">
        <f aca="false">(SUMPRODUCT(DCF_Base!$D$41:$M$41/(1+$A9)^DCF_Base!$D$8:$M$8)+DCF_Base!$M$39*(1+B$4)/($A9-B$4)/(1+$A9)^DCF_Base!$D$50-Inputs!$B$8-Inputs!$B$10-Scenarios!$C$10)/Inputs!$B$6*100</f>
        <v>473.39072605471</v>
      </c>
      <c r="C9" s="40" t="n">
        <f aca="false">(SUMPRODUCT(DCF_Base!$D$41:$M$41/(1+$A9)^DCF_Base!$D$8:$M$8)+DCF_Base!$M$39*(1+C$4)/($A9-C$4)/(1+$A9)^DCF_Base!$D$50-Inputs!$B$8-Inputs!$B$10-Scenarios!$C$10)/Inputs!$B$6*100</f>
        <v>494.448004760616</v>
      </c>
      <c r="D9" s="40" t="n">
        <f aca="false">(SUMPRODUCT(DCF_Base!$D$41:$M$41/(1+$A9)^DCF_Base!$D$8:$M$8)+DCF_Base!$M$39*(1+D$4)/($A9-D$4)/(1+$A9)^DCF_Base!$D$50-Inputs!$B$8-Inputs!$B$10-Scenarios!$C$10)/Inputs!$B$6*100</f>
        <v>518.185827461902</v>
      </c>
      <c r="E9" s="40" t="n">
        <f aca="false">(SUMPRODUCT(DCF_Base!$D$41:$M$41/(1+$A9)^DCF_Base!$D$8:$M$8)+DCF_Base!$M$39*(1+E$4)/($A9-E$4)/(1+$A9)^DCF_Base!$D$50-Inputs!$B$8-Inputs!$B$10-Scenarios!$C$10)/Inputs!$B$6*100</f>
        <v>545.150827545993</v>
      </c>
      <c r="F9" s="40" t="n">
        <f aca="false">(SUMPRODUCT(DCF_Base!$D$41:$M$41/(1+$A9)^DCF_Base!$D$8:$M$8)+DCF_Base!$M$39*(1+F$4)/($A9-F$4)/(1+$A9)^DCF_Base!$D$50-Inputs!$B$8-Inputs!$B$10-Scenarios!$C$10)/Inputs!$B$6*100</f>
        <v>576.049109042664</v>
      </c>
    </row>
    <row r="11" customFormat="false" ht="15" hidden="false" customHeight="false" outlineLevel="0" collapsed="false">
      <c r="A11" s="27" t="s">
        <v>46</v>
      </c>
      <c r="B11" s="6" t="n">
        <f aca="false">Inputs!$B$5</f>
        <v>450</v>
      </c>
    </row>
    <row r="12" customFormat="false" ht="15" hidden="false" customHeight="false" outlineLevel="0" collapsed="false">
      <c r="A12" s="27" t="s">
        <v>284</v>
      </c>
      <c r="B12" s="5" t="str">
        <f aca="false">COUNTIF(B5:F9,"&gt;"&amp;B11)&amp;" of 25"</f>
        <v>25 of 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9"/>
    <col collapsed="false" customWidth="true" hidden="false" outlineLevel="0" max="5" min="4" style="0" width="12"/>
    <col collapsed="false" customWidth="true" hidden="false" outlineLevel="0" max="7" min="6" style="0" width="11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285</v>
      </c>
    </row>
    <row r="2" customFormat="false" ht="15" hidden="false" customHeight="false" outlineLevel="0" collapsed="false">
      <c r="A2" s="2" t="s">
        <v>286</v>
      </c>
    </row>
    <row r="4" customFormat="false" ht="15" hidden="false" customHeight="false" outlineLevel="0" collapsed="false">
      <c r="A4" s="12" t="s">
        <v>287</v>
      </c>
      <c r="B4" s="13" t="s">
        <v>288</v>
      </c>
      <c r="C4" s="13" t="s">
        <v>289</v>
      </c>
      <c r="D4" s="13" t="s">
        <v>46</v>
      </c>
      <c r="E4" s="13" t="s">
        <v>290</v>
      </c>
      <c r="F4" s="13" t="s">
        <v>291</v>
      </c>
      <c r="G4" s="13" t="s">
        <v>292</v>
      </c>
      <c r="H4" s="13" t="s">
        <v>293</v>
      </c>
    </row>
    <row r="5" customFormat="false" ht="15" hidden="false" customHeight="false" outlineLevel="0" collapsed="false">
      <c r="A5" s="5" t="s">
        <v>294</v>
      </c>
      <c r="B5" s="5" t="s">
        <v>295</v>
      </c>
      <c r="C5" s="5" t="s">
        <v>296</v>
      </c>
      <c r="D5" s="41" t="n">
        <v>1369.8</v>
      </c>
      <c r="E5" s="42" t="s">
        <v>297</v>
      </c>
      <c r="F5" s="41" t="n">
        <v>44</v>
      </c>
      <c r="G5" s="37" t="n">
        <f aca="false">D5/F5</f>
        <v>31.1318181818182</v>
      </c>
      <c r="H5" s="4" t="s">
        <v>298</v>
      </c>
    </row>
    <row r="6" customFormat="false" ht="15" hidden="false" customHeight="false" outlineLevel="0" collapsed="false">
      <c r="A6" s="5" t="s">
        <v>299</v>
      </c>
      <c r="B6" s="5" t="s">
        <v>300</v>
      </c>
      <c r="C6" s="5" t="s">
        <v>301</v>
      </c>
      <c r="D6" s="41" t="n">
        <v>328.9</v>
      </c>
      <c r="E6" s="42" t="s">
        <v>302</v>
      </c>
      <c r="F6" s="41" t="n">
        <v>10.42</v>
      </c>
      <c r="G6" s="37" t="n">
        <f aca="false">D6/F6</f>
        <v>31.5642994241843</v>
      </c>
      <c r="H6" s="4" t="s">
        <v>303</v>
      </c>
    </row>
    <row r="7" customFormat="false" ht="15" hidden="false" customHeight="false" outlineLevel="0" collapsed="false">
      <c r="A7" s="5" t="s">
        <v>304</v>
      </c>
      <c r="B7" s="5" t="s">
        <v>305</v>
      </c>
      <c r="C7" s="5" t="s">
        <v>301</v>
      </c>
      <c r="D7" s="41" t="n">
        <v>367.1</v>
      </c>
      <c r="E7" s="42" t="s">
        <v>302</v>
      </c>
      <c r="F7" s="41" t="n">
        <v>18.98</v>
      </c>
      <c r="G7" s="37" t="n">
        <f aca="false">D7/F7</f>
        <v>19.3414120126449</v>
      </c>
      <c r="H7" s="4" t="s">
        <v>306</v>
      </c>
    </row>
    <row r="8" customFormat="false" ht="15" hidden="false" customHeight="false" outlineLevel="0" collapsed="false">
      <c r="A8" s="5" t="s">
        <v>307</v>
      </c>
      <c r="B8" s="5" t="s">
        <v>308</v>
      </c>
      <c r="C8" s="5" t="s">
        <v>309</v>
      </c>
      <c r="D8" s="41" t="n">
        <v>303.62</v>
      </c>
      <c r="E8" s="42" t="s">
        <v>310</v>
      </c>
      <c r="F8" s="41" t="n">
        <v>7.92</v>
      </c>
      <c r="G8" s="37" t="n">
        <f aca="false">D8/F8</f>
        <v>38.3358585858586</v>
      </c>
      <c r="H8" s="4" t="s">
        <v>311</v>
      </c>
    </row>
    <row r="9" customFormat="false" ht="15" hidden="false" customHeight="false" outlineLevel="0" collapsed="false">
      <c r="A9" s="5" t="s">
        <v>312</v>
      </c>
      <c r="B9" s="5" t="s">
        <v>313</v>
      </c>
      <c r="C9" s="5" t="s">
        <v>309</v>
      </c>
      <c r="D9" s="41" t="n">
        <v>231.6</v>
      </c>
      <c r="E9" s="42" t="s">
        <v>302</v>
      </c>
      <c r="F9" s="41" t="n">
        <v>5.34</v>
      </c>
      <c r="G9" s="37" t="n">
        <f aca="false">D9/F9</f>
        <v>43.3707865168539</v>
      </c>
      <c r="H9" s="4" t="s">
        <v>314</v>
      </c>
    </row>
    <row r="10" customFormat="false" ht="15" hidden="false" customHeight="false" outlineLevel="0" collapsed="false">
      <c r="A10" s="3" t="s">
        <v>315</v>
      </c>
      <c r="G10" s="43" t="n">
        <f aca="false">MEDIAN(G5:G9)</f>
        <v>31.5642994241843</v>
      </c>
    </row>
    <row r="11" customFormat="false" ht="15" hidden="false" customHeight="false" outlineLevel="0" collapsed="false">
      <c r="A11" s="3" t="s">
        <v>316</v>
      </c>
      <c r="B11" s="5" t="s">
        <v>317</v>
      </c>
      <c r="C11" s="5" t="s">
        <v>296</v>
      </c>
      <c r="D11" s="44" t="n">
        <f aca="false">Inputs!$B$5</f>
        <v>450</v>
      </c>
      <c r="E11" s="5" t="s">
        <v>310</v>
      </c>
      <c r="F11" s="44" t="n">
        <f aca="false">Inputs!$B$14</f>
        <v>35</v>
      </c>
      <c r="G11" s="43" t="n">
        <f aca="false">D11/F11</f>
        <v>12.8571428571429</v>
      </c>
    </row>
    <row r="12" customFormat="false" ht="15" hidden="false" customHeight="false" outlineLevel="0" collapsed="false">
      <c r="A12" s="5" t="s">
        <v>318</v>
      </c>
      <c r="G12" s="24" t="n">
        <f aca="false">1-G11/G10</f>
        <v>0.592668201363854</v>
      </c>
    </row>
    <row r="13" customFormat="false" ht="15" hidden="false" customHeight="false" outlineLevel="0" collapsed="false">
      <c r="A13" s="5" t="s">
        <v>319</v>
      </c>
      <c r="F13" s="45" t="n">
        <f aca="false">F11-Inputs!$B$25*(1-Inputs!$B$55)/Inputs!$B$6*100</f>
        <v>12.0016051364366</v>
      </c>
      <c r="G13" s="43" t="n">
        <f aca="false">D11/F13</f>
        <v>37.4949846194998</v>
      </c>
      <c r="H13" s="4" t="s">
        <v>320</v>
      </c>
    </row>
    <row r="15" customFormat="false" ht="15" hidden="false" customHeight="false" outlineLevel="0" collapsed="false">
      <c r="A15" s="14" t="s">
        <v>321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false" outlineLevel="0" collapsed="false">
      <c r="A16" s="5" t="s">
        <v>322</v>
      </c>
      <c r="G16" s="46" t="n">
        <v>15.2</v>
      </c>
      <c r="H16" s="4" t="s">
        <v>323</v>
      </c>
    </row>
    <row r="17" customFormat="false" ht="15" hidden="false" customHeight="false" outlineLevel="0" collapsed="false">
      <c r="A17" s="5" t="s">
        <v>324</v>
      </c>
      <c r="G17" s="9" t="n">
        <f aca="false">DCF_Base!C28</f>
        <v>785</v>
      </c>
      <c r="H17" s="4" t="s">
        <v>325</v>
      </c>
    </row>
    <row r="18" customFormat="false" ht="15" hidden="false" customHeight="false" outlineLevel="0" collapsed="false">
      <c r="A18" s="5" t="s">
        <v>326</v>
      </c>
      <c r="G18" s="9" t="n">
        <f aca="false">-DCF_Base!C33</f>
        <v>324</v>
      </c>
      <c r="H18" s="4" t="s">
        <v>94</v>
      </c>
    </row>
    <row r="19" customFormat="false" ht="15" hidden="false" customHeight="false" outlineLevel="0" collapsed="false">
      <c r="A19" s="5" t="s">
        <v>327</v>
      </c>
      <c r="G19" s="18" t="n">
        <f aca="false">G17-G18</f>
        <v>461</v>
      </c>
      <c r="H19" s="4" t="s">
        <v>54</v>
      </c>
    </row>
    <row r="20" customFormat="false" ht="15" hidden="false" customHeight="false" outlineLevel="0" collapsed="false">
      <c r="A20" s="5" t="s">
        <v>328</v>
      </c>
      <c r="G20" s="10" t="n">
        <f aca="false">Inputs!$B$11/G17</f>
        <v>9.52611464968153</v>
      </c>
      <c r="H20" s="4" t="s">
        <v>329</v>
      </c>
    </row>
    <row r="21" customFormat="false" ht="15" hidden="false" customHeight="false" outlineLevel="0" collapsed="false">
      <c r="A21" s="5" t="s">
        <v>330</v>
      </c>
      <c r="G21" s="10" t="n">
        <f aca="false">Inputs!$B$11/G19</f>
        <v>16.2212581344902</v>
      </c>
      <c r="H21" s="4" t="s">
        <v>331</v>
      </c>
    </row>
    <row r="22" customFormat="false" ht="15" hidden="false" customHeight="false" outlineLevel="0" collapsed="false">
      <c r="A22" s="3" t="s">
        <v>332</v>
      </c>
      <c r="G22" s="47" t="n">
        <f aca="false">(G16*G19-(Inputs!$B$8+Inputs!$B$9+Inputs!$B$10+Scenarios!$C$10))/Inputs!$B$6*100</f>
        <v>402.584269662921</v>
      </c>
      <c r="H22" s="4" t="s">
        <v>333</v>
      </c>
    </row>
    <row r="23" customFormat="false" ht="15" hidden="false" customHeight="false" outlineLevel="0" collapsed="false">
      <c r="A23" s="3" t="s">
        <v>334</v>
      </c>
      <c r="G23" s="47" t="n">
        <f aca="false">(G16*G17-(Inputs!$B$8+Inputs!$B$9+Inputs!$B$10+Scenarios!$C$10))/Inputs!$B$6*100</f>
        <v>797.833065810594</v>
      </c>
      <c r="H23" s="4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1"/>
  </cols>
  <sheetData>
    <row r="1" customFormat="false" ht="17.35" hidden="false" customHeight="false" outlineLevel="0" collapsed="false">
      <c r="A1" s="1" t="s">
        <v>336</v>
      </c>
    </row>
    <row r="2" customFormat="false" ht="15" hidden="false" customHeight="false" outlineLevel="0" collapsed="false">
      <c r="A2" s="2" t="s">
        <v>337</v>
      </c>
    </row>
    <row r="4" customFormat="false" ht="15" hidden="false" customHeight="false" outlineLevel="0" collapsed="false">
      <c r="A4" s="12" t="s">
        <v>42</v>
      </c>
      <c r="B4" s="13" t="s">
        <v>338</v>
      </c>
      <c r="C4" s="13" t="s">
        <v>339</v>
      </c>
      <c r="D4" s="13" t="s">
        <v>340</v>
      </c>
      <c r="E4" s="13" t="s">
        <v>341</v>
      </c>
    </row>
    <row r="5" customFormat="false" ht="15" hidden="false" customHeight="false" outlineLevel="0" collapsed="false">
      <c r="A5" s="5" t="s">
        <v>76</v>
      </c>
      <c r="B5" s="17" t="n">
        <v>1459</v>
      </c>
      <c r="C5" s="17" t="n">
        <v>1632</v>
      </c>
      <c r="D5" s="17" t="n">
        <v>781</v>
      </c>
      <c r="E5" s="17" t="n">
        <v>896</v>
      </c>
    </row>
    <row r="6" customFormat="false" ht="15" hidden="false" customHeight="false" outlineLevel="0" collapsed="false">
      <c r="A6" s="5" t="s">
        <v>80</v>
      </c>
      <c r="B6" s="17" t="n">
        <v>2009</v>
      </c>
      <c r="C6" s="17" t="n">
        <v>1957</v>
      </c>
      <c r="D6" s="17" t="n">
        <v>939</v>
      </c>
      <c r="E6" s="17" t="n">
        <v>977</v>
      </c>
    </row>
    <row r="7" customFormat="false" ht="15" hidden="false" customHeight="false" outlineLevel="0" collapsed="false">
      <c r="A7" s="5" t="s">
        <v>228</v>
      </c>
      <c r="B7" s="36" t="n">
        <f aca="false">B5+B6</f>
        <v>3468</v>
      </c>
      <c r="C7" s="36" t="n">
        <f aca="false">C5+C6</f>
        <v>3589</v>
      </c>
      <c r="D7" s="36" t="n">
        <f aca="false">D5+D6</f>
        <v>1720</v>
      </c>
      <c r="E7" s="36" t="n">
        <f aca="false">E5+E6</f>
        <v>1873</v>
      </c>
    </row>
    <row r="8" customFormat="false" ht="15" hidden="false" customHeight="false" outlineLevel="0" collapsed="false">
      <c r="A8" s="5" t="s">
        <v>78</v>
      </c>
      <c r="B8" s="17" t="n">
        <v>422</v>
      </c>
      <c r="C8" s="17" t="n">
        <v>520</v>
      </c>
      <c r="D8" s="17" t="n">
        <v>261</v>
      </c>
      <c r="E8" s="17" t="n">
        <v>303</v>
      </c>
    </row>
    <row r="9" customFormat="false" ht="15" hidden="false" customHeight="false" outlineLevel="0" collapsed="false">
      <c r="A9" s="5" t="s">
        <v>82</v>
      </c>
      <c r="B9" s="17" t="n">
        <v>144</v>
      </c>
      <c r="C9" s="17" t="n">
        <v>156</v>
      </c>
      <c r="D9" s="17" t="n">
        <v>63</v>
      </c>
      <c r="E9" s="17" t="n">
        <v>62</v>
      </c>
    </row>
    <row r="10" customFormat="false" ht="15" hidden="false" customHeight="false" outlineLevel="0" collapsed="false">
      <c r="A10" s="5" t="s">
        <v>234</v>
      </c>
      <c r="B10" s="17" t="n">
        <v>-26</v>
      </c>
      <c r="C10" s="17" t="n">
        <v>-29</v>
      </c>
      <c r="D10" s="17" t="n">
        <v>-14</v>
      </c>
      <c r="E10" s="17" t="n">
        <v>-18</v>
      </c>
    </row>
    <row r="11" customFormat="false" ht="15" hidden="false" customHeight="false" outlineLevel="0" collapsed="false">
      <c r="A11" s="5" t="s">
        <v>84</v>
      </c>
      <c r="B11" s="36" t="n">
        <f aca="false">B8+B9+B10</f>
        <v>540</v>
      </c>
      <c r="C11" s="36" t="n">
        <f aca="false">C8+C9+C10</f>
        <v>647</v>
      </c>
      <c r="D11" s="36" t="n">
        <f aca="false">D8+D9+D10</f>
        <v>310</v>
      </c>
      <c r="E11" s="36" t="n">
        <f aca="false">E8+E9+E10</f>
        <v>347</v>
      </c>
    </row>
    <row r="12" customFormat="false" ht="15" hidden="false" customHeight="false" outlineLevel="0" collapsed="false">
      <c r="A12" s="5" t="s">
        <v>230</v>
      </c>
      <c r="B12" s="24" t="n">
        <f aca="false">B8/B5</f>
        <v>0.289239204934887</v>
      </c>
      <c r="C12" s="24" t="n">
        <f aca="false">C8/C5</f>
        <v>0.318627450980392</v>
      </c>
      <c r="D12" s="24" t="n">
        <f aca="false">D8/D5</f>
        <v>0.334186939820743</v>
      </c>
      <c r="E12" s="24" t="n">
        <f aca="false">E8/E5</f>
        <v>0.338169642857143</v>
      </c>
    </row>
    <row r="13" customFormat="false" ht="15" hidden="false" customHeight="false" outlineLevel="0" collapsed="false">
      <c r="A13" s="5" t="s">
        <v>232</v>
      </c>
      <c r="B13" s="24" t="n">
        <f aca="false">B9/B6</f>
        <v>0.0716774514683922</v>
      </c>
      <c r="C13" s="24" t="n">
        <f aca="false">C9/C6</f>
        <v>0.0797138477261114</v>
      </c>
      <c r="D13" s="24" t="n">
        <f aca="false">D9/D6</f>
        <v>0.0670926517571885</v>
      </c>
      <c r="E13" s="24" t="n">
        <f aca="false">E9/E6</f>
        <v>0.0634595701125896</v>
      </c>
    </row>
    <row r="14" customFormat="false" ht="15" hidden="false" customHeight="false" outlineLevel="0" collapsed="false">
      <c r="A14" s="5" t="s">
        <v>342</v>
      </c>
      <c r="B14" s="24" t="n">
        <f aca="false">B11/B7</f>
        <v>0.155709342560554</v>
      </c>
      <c r="C14" s="24" t="n">
        <f aca="false">C11/C7</f>
        <v>0.180273056561716</v>
      </c>
      <c r="D14" s="24" t="n">
        <f aca="false">D11/D7</f>
        <v>0.180232558139535</v>
      </c>
      <c r="E14" s="24" t="n">
        <f aca="false">E11/E7</f>
        <v>0.185264281900694</v>
      </c>
    </row>
    <row r="15" customFormat="false" ht="15" hidden="false" customHeight="false" outlineLevel="0" collapsed="false">
      <c r="A15" s="5" t="s">
        <v>343</v>
      </c>
      <c r="B15" s="17" t="n">
        <v>274</v>
      </c>
      <c r="C15" s="17" t="n">
        <v>324</v>
      </c>
      <c r="D15" s="17" t="n">
        <v>182</v>
      </c>
      <c r="E15" s="17" t="n">
        <v>206</v>
      </c>
    </row>
    <row r="16" customFormat="false" ht="15" hidden="false" customHeight="false" outlineLevel="0" collapsed="false">
      <c r="A16" s="5" t="s">
        <v>344</v>
      </c>
      <c r="B16" s="24" t="n">
        <f aca="false">B15/B11</f>
        <v>0.507407407407407</v>
      </c>
      <c r="C16" s="24" t="n">
        <f aca="false">C15/C11</f>
        <v>0.500772797527048</v>
      </c>
      <c r="D16" s="24" t="n">
        <f aca="false">D15/D11</f>
        <v>0.587096774193548</v>
      </c>
      <c r="E16" s="24" t="n">
        <f aca="false">E15/E11</f>
        <v>0.593659942363112</v>
      </c>
    </row>
    <row r="17" customFormat="false" ht="15" hidden="false" customHeight="false" outlineLevel="0" collapsed="false">
      <c r="A17" s="5" t="s">
        <v>345</v>
      </c>
      <c r="B17" s="17" t="n">
        <v>-74</v>
      </c>
      <c r="C17" s="17" t="n">
        <v>125</v>
      </c>
      <c r="D17" s="17" t="n">
        <v>-54</v>
      </c>
      <c r="E17" s="17" t="n">
        <v>13</v>
      </c>
    </row>
    <row r="18" customFormat="false" ht="15" hidden="false" customHeight="false" outlineLevel="0" collapsed="false">
      <c r="A18" s="5" t="s">
        <v>346</v>
      </c>
      <c r="B18" s="17" t="n">
        <v>1321</v>
      </c>
      <c r="C18" s="17" t="n">
        <v>1407</v>
      </c>
      <c r="E18" s="17" t="n">
        <v>1530</v>
      </c>
    </row>
    <row r="19" customFormat="false" ht="15" hidden="false" customHeight="false" outlineLevel="0" collapsed="false">
      <c r="A19" s="5" t="s">
        <v>347</v>
      </c>
      <c r="B19" s="17" t="n">
        <v>1286</v>
      </c>
      <c r="C19" s="17" t="n">
        <v>1258</v>
      </c>
      <c r="E19" s="17" t="n">
        <v>1246</v>
      </c>
    </row>
    <row r="20" customFormat="false" ht="15" hidden="false" customHeight="false" outlineLevel="0" collapsed="false">
      <c r="A20" s="5" t="s">
        <v>348</v>
      </c>
      <c r="B20" s="48" t="n">
        <v>26.4</v>
      </c>
      <c r="C20" s="48" t="n">
        <v>32.1</v>
      </c>
      <c r="D20" s="48" t="n">
        <v>15.1</v>
      </c>
      <c r="E20" s="48" t="n">
        <v>17.7</v>
      </c>
    </row>
    <row r="21" customFormat="false" ht="15" hidden="false" customHeight="false" outlineLevel="0" collapsed="false">
      <c r="A21" s="5" t="s">
        <v>349</v>
      </c>
      <c r="B21" s="48" t="n">
        <v>6</v>
      </c>
      <c r="C21" s="48" t="n">
        <v>7.2</v>
      </c>
      <c r="D21" s="48" t="n">
        <v>2.4</v>
      </c>
      <c r="E21" s="48" t="n">
        <v>2.7</v>
      </c>
    </row>
    <row r="23" customFormat="false" ht="15" hidden="false" customHeight="false" outlineLevel="0" collapsed="false">
      <c r="A23" s="2" t="s">
        <v>350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2026-10-08T13:37:53Z</dcterms:created>
  <dc:creator>openpyxl</dc:creator>
  <dc:description/>
  <dc:language>en-US</dc:language>
  <cp:lastModifiedBy/>
  <dcterms:modified xsi:type="dcterms:W3CDTF">2026-10-08T13:37:53Z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